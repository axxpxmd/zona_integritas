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autoCompressPictures="0" defaultThemeVersion="124226"/>
  <mc:AlternateContent xmlns:mc="http://schemas.openxmlformats.org/markup-compatibility/2006">
    <mc:Choice Requires="x15">
      <x15ac:absPath xmlns:x15ac="http://schemas.microsoft.com/office/spreadsheetml/2010/11/ac" url="D:\laragon\www\zona_integritas\public\"/>
    </mc:Choice>
  </mc:AlternateContent>
  <xr:revisionPtr revIDLastSave="0" documentId="13_ncr:1_{1CFDB72F-CD00-42FF-83C6-FB0D4B9FFF71}" xr6:coauthVersionLast="47" xr6:coauthVersionMax="47" xr10:uidLastSave="{00000000-0000-0000-0000-000000000000}"/>
  <bookViews>
    <workbookView xWindow="-120" yWindow="-120" windowWidth="29040" windowHeight="18240" firstSheet="2" activeTab="2" xr2:uid="{00000000-000D-0000-FFFF-FFFF00000000}"/>
  </bookViews>
  <sheets>
    <sheet name="Utama" sheetId="20" state="hidden" r:id="rId1"/>
    <sheet name="Ctt Eval" sheetId="19" state="hidden" r:id="rId2"/>
    <sheet name="LKE ZI" sheetId="15" r:id="rId3"/>
  </sheets>
  <definedNames>
    <definedName name="_xlnm._FilterDatabase" localSheetId="1" hidden="1">'Ctt Eval'!$A$2:$L$68</definedName>
    <definedName name="_xlnm._FilterDatabase" localSheetId="2" hidden="1">'LKE ZI'!$A$3:$O$208</definedName>
    <definedName name="_xlnm._FilterDatabase" localSheetId="0" hidden="1">Utama!$A$2:$L$27</definedName>
    <definedName name="_xlnm.Print_Titles" localSheetId="2">'LKE ZI'!$2:$2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7" i="15" l="1"/>
  <c r="L196" i="15" s="1"/>
  <c r="L123" i="15"/>
  <c r="L105" i="15"/>
  <c r="L189" i="15"/>
  <c r="L188" i="15"/>
  <c r="L187" i="15"/>
  <c r="L186" i="15"/>
  <c r="K184" i="15"/>
  <c r="L184" i="15" s="1"/>
  <c r="L182" i="15"/>
  <c r="L181" i="15"/>
  <c r="L180" i="15"/>
  <c r="L179" i="15"/>
  <c r="K178" i="15"/>
  <c r="K177" i="15" s="1"/>
  <c r="L177" i="15" s="1"/>
  <c r="L91" i="15"/>
  <c r="L90" i="15"/>
  <c r="L86" i="15"/>
  <c r="L122" i="15"/>
  <c r="L124" i="15"/>
  <c r="L118" i="15"/>
  <c r="K128" i="15"/>
  <c r="L128" i="15" s="1"/>
  <c r="L129" i="15"/>
  <c r="L130" i="15"/>
  <c r="K131" i="15"/>
  <c r="L131" i="15" s="1"/>
  <c r="L132" i="15"/>
  <c r="L133" i="15"/>
  <c r="L135" i="15"/>
  <c r="L134" i="15"/>
  <c r="M134" i="15" s="1"/>
  <c r="L137" i="15"/>
  <c r="L136" i="15" s="1"/>
  <c r="L140" i="15"/>
  <c r="L139" i="15"/>
  <c r="M139" i="15" s="1"/>
  <c r="L142" i="15"/>
  <c r="L143" i="15"/>
  <c r="L145" i="15"/>
  <c r="L146" i="15"/>
  <c r="L147" i="15"/>
  <c r="L150" i="15"/>
  <c r="L149" i="15" s="1"/>
  <c r="L152" i="15"/>
  <c r="L151" i="15" s="1"/>
  <c r="K154" i="15"/>
  <c r="L154" i="15" s="1"/>
  <c r="L155" i="15"/>
  <c r="L156" i="15"/>
  <c r="L157" i="15"/>
  <c r="K160" i="15"/>
  <c r="L160" i="15" s="1"/>
  <c r="L161" i="15"/>
  <c r="L162" i="15"/>
  <c r="L164" i="15"/>
  <c r="L163" i="15"/>
  <c r="M163" i="15" s="1"/>
  <c r="L166" i="15"/>
  <c r="L165" i="15" s="1"/>
  <c r="L169" i="15"/>
  <c r="L168" i="15" s="1"/>
  <c r="K171" i="15"/>
  <c r="L171" i="15" s="1"/>
  <c r="L170" i="15" s="1"/>
  <c r="L172" i="15"/>
  <c r="L173" i="15"/>
  <c r="L174" i="15"/>
  <c r="L192" i="15"/>
  <c r="K193" i="15"/>
  <c r="L193" i="15" s="1"/>
  <c r="L194" i="15"/>
  <c r="L195" i="15"/>
  <c r="L8" i="15"/>
  <c r="L9" i="15"/>
  <c r="L11" i="15"/>
  <c r="L12" i="15"/>
  <c r="L13" i="15"/>
  <c r="L15" i="15"/>
  <c r="L16" i="15"/>
  <c r="L17" i="15"/>
  <c r="L19" i="15"/>
  <c r="L20" i="15"/>
  <c r="L21" i="15"/>
  <c r="L22" i="15"/>
  <c r="L25" i="15"/>
  <c r="L26" i="15"/>
  <c r="L27" i="15"/>
  <c r="L29" i="15"/>
  <c r="L30" i="15"/>
  <c r="L31" i="15"/>
  <c r="L32" i="15"/>
  <c r="L34" i="15"/>
  <c r="L35" i="15"/>
  <c r="L38" i="15"/>
  <c r="L39" i="15"/>
  <c r="L40" i="15"/>
  <c r="L42" i="15"/>
  <c r="L43" i="15"/>
  <c r="L44" i="15"/>
  <c r="L46" i="15"/>
  <c r="L47" i="15"/>
  <c r="L48" i="15"/>
  <c r="L49" i="15"/>
  <c r="L50" i="15"/>
  <c r="L51" i="15"/>
  <c r="L53" i="15"/>
  <c r="L54" i="15"/>
  <c r="L55" i="15"/>
  <c r="L56" i="15"/>
  <c r="L58" i="15"/>
  <c r="L57" i="15" s="1"/>
  <c r="L60" i="15"/>
  <c r="L59" i="15" s="1"/>
  <c r="L63" i="15"/>
  <c r="L64" i="15"/>
  <c r="L65" i="15"/>
  <c r="L67" i="15"/>
  <c r="L68" i="15"/>
  <c r="L69" i="15"/>
  <c r="L70" i="15"/>
  <c r="L71" i="15"/>
  <c r="L72" i="15"/>
  <c r="L73" i="15"/>
  <c r="L74" i="15"/>
  <c r="L77" i="15"/>
  <c r="L78" i="15"/>
  <c r="L80" i="15"/>
  <c r="L81" i="15"/>
  <c r="L82" i="15"/>
  <c r="L83" i="15"/>
  <c r="L85" i="15"/>
  <c r="L87" i="15"/>
  <c r="L88" i="15"/>
  <c r="L92" i="15"/>
  <c r="L93" i="15"/>
  <c r="L95" i="15"/>
  <c r="L96" i="15"/>
  <c r="L97" i="15"/>
  <c r="L98" i="15"/>
  <c r="L99" i="15"/>
  <c r="L102" i="15"/>
  <c r="L103" i="15"/>
  <c r="L104" i="15"/>
  <c r="L107" i="15"/>
  <c r="L108" i="15"/>
  <c r="L109" i="15"/>
  <c r="L110" i="15"/>
  <c r="L111" i="15"/>
  <c r="L112" i="15"/>
  <c r="L119" i="15"/>
  <c r="L120" i="15"/>
  <c r="L116" i="15"/>
  <c r="L115" i="15"/>
  <c r="L114" i="15"/>
  <c r="L202" i="15"/>
  <c r="I62" i="19" s="1"/>
  <c r="L205" i="15"/>
  <c r="L204" i="15" s="1"/>
  <c r="I64" i="19" s="1"/>
  <c r="L203" i="15"/>
  <c r="I63" i="19" s="1"/>
  <c r="I53" i="19"/>
  <c r="J53" i="19" s="1"/>
  <c r="L201" i="15"/>
  <c r="M201" i="15" s="1"/>
  <c r="L33" i="15" l="1"/>
  <c r="M33" i="15" s="1"/>
  <c r="L153" i="15"/>
  <c r="I46" i="19" s="1"/>
  <c r="J46" i="19" s="1"/>
  <c r="L144" i="15"/>
  <c r="I42" i="19" s="1"/>
  <c r="J42" i="19" s="1"/>
  <c r="I65" i="19"/>
  <c r="I25" i="20" s="1"/>
  <c r="J25" i="20" s="1"/>
  <c r="L141" i="15"/>
  <c r="M141" i="15" s="1"/>
  <c r="L159" i="15"/>
  <c r="L158" i="15" s="1"/>
  <c r="I47" i="19" s="1"/>
  <c r="L84" i="15"/>
  <c r="I50" i="19"/>
  <c r="J50" i="19" s="1"/>
  <c r="M165" i="15"/>
  <c r="I37" i="19"/>
  <c r="J37" i="19" s="1"/>
  <c r="L10" i="15"/>
  <c r="I7" i="19" s="1"/>
  <c r="J7" i="19" s="1"/>
  <c r="L191" i="15"/>
  <c r="M191" i="15" s="1"/>
  <c r="L185" i="15"/>
  <c r="L183" i="15" s="1"/>
  <c r="L127" i="15"/>
  <c r="L126" i="15" s="1"/>
  <c r="M57" i="15"/>
  <c r="I19" i="19"/>
  <c r="J19" i="19" s="1"/>
  <c r="L14" i="15"/>
  <c r="I8" i="19" s="1"/>
  <c r="J8" i="19" s="1"/>
  <c r="L79" i="15"/>
  <c r="M79" i="15" s="1"/>
  <c r="L101" i="15"/>
  <c r="M101" i="15" s="1"/>
  <c r="L89" i="15"/>
  <c r="I28" i="19" s="1"/>
  <c r="J28" i="19" s="1"/>
  <c r="L24" i="15"/>
  <c r="M24" i="15" s="1"/>
  <c r="L121" i="15"/>
  <c r="M121" i="15" s="1"/>
  <c r="L62" i="15"/>
  <c r="L7" i="15"/>
  <c r="M7" i="15" s="1"/>
  <c r="M84" i="15"/>
  <c r="I27" i="19"/>
  <c r="J27" i="19" s="1"/>
  <c r="I22" i="19"/>
  <c r="J22" i="19" s="1"/>
  <c r="M62" i="15"/>
  <c r="L41" i="15"/>
  <c r="L45" i="15"/>
  <c r="M45" i="15" s="1"/>
  <c r="L37" i="15"/>
  <c r="I15" i="19" s="1"/>
  <c r="J15" i="19" s="1"/>
  <c r="L113" i="15"/>
  <c r="M113" i="15" s="1"/>
  <c r="L106" i="15"/>
  <c r="I32" i="19" s="1"/>
  <c r="J32" i="19" s="1"/>
  <c r="L94" i="15"/>
  <c r="L52" i="15"/>
  <c r="I18" i="19" s="1"/>
  <c r="J18" i="19" s="1"/>
  <c r="L18" i="15"/>
  <c r="M18" i="15" s="1"/>
  <c r="L117" i="15"/>
  <c r="M117" i="15" s="1"/>
  <c r="L28" i="15"/>
  <c r="I12" i="19" s="1"/>
  <c r="J12" i="19" s="1"/>
  <c r="L76" i="15"/>
  <c r="I25" i="19" s="1"/>
  <c r="J25" i="19" s="1"/>
  <c r="L66" i="15"/>
  <c r="M66" i="15" s="1"/>
  <c r="I20" i="19"/>
  <c r="J20" i="19" s="1"/>
  <c r="M59" i="15"/>
  <c r="I44" i="19"/>
  <c r="J44" i="19" s="1"/>
  <c r="M149" i="15"/>
  <c r="I38" i="19"/>
  <c r="J38" i="19" s="1"/>
  <c r="M136" i="15"/>
  <c r="I54" i="19"/>
  <c r="J54" i="19" s="1"/>
  <c r="M170" i="15"/>
  <c r="I45" i="19"/>
  <c r="J45" i="19" s="1"/>
  <c r="M151" i="15"/>
  <c r="M94" i="15"/>
  <c r="J63" i="19"/>
  <c r="I23" i="20"/>
  <c r="J23" i="20" s="1"/>
  <c r="I24" i="20"/>
  <c r="J24" i="20" s="1"/>
  <c r="J64" i="19"/>
  <c r="L190" i="15"/>
  <c r="I52" i="19"/>
  <c r="J52" i="19" s="1"/>
  <c r="M168" i="15"/>
  <c r="J62" i="19"/>
  <c r="I22" i="20"/>
  <c r="J22" i="20" s="1"/>
  <c r="I9" i="19"/>
  <c r="J9" i="19" s="1"/>
  <c r="M196" i="15"/>
  <c r="I57" i="19"/>
  <c r="J57" i="19" s="1"/>
  <c r="L206" i="15"/>
  <c r="M153" i="15"/>
  <c r="M204" i="15"/>
  <c r="I49" i="19"/>
  <c r="J49" i="19" s="1"/>
  <c r="I40" i="19"/>
  <c r="J40" i="19" s="1"/>
  <c r="L178" i="15"/>
  <c r="L176" i="15" s="1"/>
  <c r="L175" i="15" s="1"/>
  <c r="M175" i="15" s="1"/>
  <c r="I61" i="19"/>
  <c r="I48" i="19" l="1"/>
  <c r="J48" i="19" s="1"/>
  <c r="L36" i="15"/>
  <c r="J65" i="19"/>
  <c r="M14" i="15"/>
  <c r="M37" i="15"/>
  <c r="L138" i="15"/>
  <c r="I39" i="19" s="1"/>
  <c r="I41" i="19"/>
  <c r="J41" i="19" s="1"/>
  <c r="M144" i="15"/>
  <c r="M106" i="15"/>
  <c r="L148" i="15"/>
  <c r="I13" i="19"/>
  <c r="J13" i="19" s="1"/>
  <c r="M159" i="15"/>
  <c r="I56" i="19"/>
  <c r="J56" i="19" s="1"/>
  <c r="M41" i="15"/>
  <c r="I23" i="19"/>
  <c r="J23" i="19" s="1"/>
  <c r="M76" i="15"/>
  <c r="M10" i="15"/>
  <c r="L6" i="15"/>
  <c r="M6" i="15" s="1"/>
  <c r="M89" i="15"/>
  <c r="I26" i="19"/>
  <c r="J26" i="19" s="1"/>
  <c r="L75" i="15"/>
  <c r="M75" i="15" s="1"/>
  <c r="I36" i="19"/>
  <c r="J36" i="19" s="1"/>
  <c r="M127" i="15"/>
  <c r="I6" i="19"/>
  <c r="J6" i="19" s="1"/>
  <c r="I16" i="19"/>
  <c r="J16" i="19" s="1"/>
  <c r="I31" i="19"/>
  <c r="J31" i="19" s="1"/>
  <c r="I29" i="19"/>
  <c r="J29" i="19" s="1"/>
  <c r="I33" i="19"/>
  <c r="J33" i="19" s="1"/>
  <c r="I11" i="19"/>
  <c r="J11" i="19" s="1"/>
  <c r="M52" i="15"/>
  <c r="L61" i="15"/>
  <c r="L100" i="15"/>
  <c r="I30" i="19" s="1"/>
  <c r="L23" i="15"/>
  <c r="I10" i="19" s="1"/>
  <c r="I17" i="19"/>
  <c r="J17" i="19" s="1"/>
  <c r="M28" i="15"/>
  <c r="J47" i="19"/>
  <c r="I15" i="20"/>
  <c r="J15" i="20" s="1"/>
  <c r="I14" i="19"/>
  <c r="M36" i="15"/>
  <c r="I55" i="19"/>
  <c r="M190" i="15"/>
  <c r="M148" i="15"/>
  <c r="I43" i="19"/>
  <c r="M126" i="15"/>
  <c r="I35" i="19"/>
  <c r="I66" i="19"/>
  <c r="L200" i="15"/>
  <c r="M200" i="15" s="1"/>
  <c r="L167" i="15"/>
  <c r="J61" i="19"/>
  <c r="I21" i="20"/>
  <c r="J21" i="20" s="1"/>
  <c r="J39" i="19" l="1"/>
  <c r="I13" i="20"/>
  <c r="J13" i="20" s="1"/>
  <c r="M138" i="15"/>
  <c r="L125" i="15"/>
  <c r="I34" i="19" s="1"/>
  <c r="I5" i="19"/>
  <c r="J5" i="19" s="1"/>
  <c r="I24" i="19"/>
  <c r="I9" i="20" s="1"/>
  <c r="J9" i="20" s="1"/>
  <c r="L5" i="15"/>
  <c r="M5" i="15" s="1"/>
  <c r="M100" i="15"/>
  <c r="M61" i="15"/>
  <c r="M23" i="15"/>
  <c r="I21" i="19"/>
  <c r="J21" i="19" s="1"/>
  <c r="I10" i="20"/>
  <c r="J10" i="20" s="1"/>
  <c r="J30" i="19"/>
  <c r="I14" i="20"/>
  <c r="J14" i="20" s="1"/>
  <c r="J43" i="19"/>
  <c r="J66" i="19"/>
  <c r="I60" i="19"/>
  <c r="I20" i="20" s="1"/>
  <c r="I26" i="20" s="1"/>
  <c r="J26" i="20" s="1"/>
  <c r="I6" i="20"/>
  <c r="J6" i="20" s="1"/>
  <c r="J10" i="19"/>
  <c r="J35" i="19"/>
  <c r="I12" i="20"/>
  <c r="J12" i="20" s="1"/>
  <c r="I7" i="20"/>
  <c r="J7" i="20" s="1"/>
  <c r="J14" i="19"/>
  <c r="I51" i="19"/>
  <c r="M167" i="15"/>
  <c r="I17" i="20"/>
  <c r="J17" i="20" s="1"/>
  <c r="J55" i="19"/>
  <c r="I5" i="20" l="1"/>
  <c r="J5" i="20" s="1"/>
  <c r="M125" i="15"/>
  <c r="J24" i="19"/>
  <c r="L198" i="15"/>
  <c r="L208" i="15" s="1"/>
  <c r="I68" i="19" s="1"/>
  <c r="I28" i="20" s="1"/>
  <c r="I4" i="19"/>
  <c r="J4" i="19" s="1"/>
  <c r="I8" i="20"/>
  <c r="J8" i="20" s="1"/>
  <c r="I11" i="20"/>
  <c r="J11" i="20" s="1"/>
  <c r="J34" i="19"/>
  <c r="J51" i="19"/>
  <c r="I16" i="20"/>
  <c r="J16" i="20" s="1"/>
  <c r="L4" i="15" l="1"/>
  <c r="M4" i="15" s="1"/>
  <c r="I58" i="19"/>
  <c r="J58" i="19" s="1"/>
  <c r="I4" i="20"/>
  <c r="J4" i="20" s="1"/>
  <c r="I18" i="20" l="1"/>
  <c r="J18" i="20" s="1"/>
  <c r="I3" i="19"/>
  <c r="I3" i="20" s="1"/>
</calcChain>
</file>

<file path=xl/sharedStrings.xml><?xml version="1.0" encoding="utf-8"?>
<sst xmlns="http://schemas.openxmlformats.org/spreadsheetml/2006/main" count="1199" uniqueCount="629">
  <si>
    <t>A.</t>
  </si>
  <si>
    <t>I.</t>
  </si>
  <si>
    <t>a.</t>
  </si>
  <si>
    <t>A/B/C</t>
  </si>
  <si>
    <t>b.</t>
  </si>
  <si>
    <t>A/B/C/D/E</t>
  </si>
  <si>
    <t>c.</t>
  </si>
  <si>
    <t>d.</t>
  </si>
  <si>
    <t>e.</t>
  </si>
  <si>
    <t>A/B/C/D</t>
  </si>
  <si>
    <t>f.</t>
  </si>
  <si>
    <t>g.</t>
  </si>
  <si>
    <t>II.</t>
  </si>
  <si>
    <t>B.</t>
  </si>
  <si>
    <t>1.</t>
  </si>
  <si>
    <t>2.</t>
  </si>
  <si>
    <t xml:space="preserve"> </t>
  </si>
  <si>
    <t>5.</t>
  </si>
  <si>
    <t>6.</t>
  </si>
  <si>
    <t>Jawaban</t>
  </si>
  <si>
    <t>Pilihan Jawaban</t>
  </si>
  <si>
    <t>Nilai</t>
  </si>
  <si>
    <t xml:space="preserve"> %</t>
  </si>
  <si>
    <t>TOTAL HASIL</t>
  </si>
  <si>
    <t>NILAI EVALUASI REFORMASI BIROKRASI</t>
  </si>
  <si>
    <t>d</t>
  </si>
  <si>
    <t>h</t>
  </si>
  <si>
    <t>Ya, jika unit kerja telah menyusun laporan kinerja tepat waktu</t>
  </si>
  <si>
    <t>Penanganan Pengaduan Masyarakat</t>
  </si>
  <si>
    <t>%</t>
  </si>
  <si>
    <t>Jumlah</t>
  </si>
  <si>
    <t>Ya, jika kebutuhan pegawai yang disusun oleh unit kerja mengacu kepada peta jabatan dan hasil analisis beban kerja untuk masing-masing jabatan.</t>
  </si>
  <si>
    <t>Ya, jika sudah dilakukan monitoring dan evaluasi terhadap penempatan pegawai hasil rekrutmen untuk memenuhi kebutuhan jabatan dalam organisasi telah memberikan perbaikan terhadap kinerja unit kerja.</t>
  </si>
  <si>
    <t>Ya, jika dilakukan mutasi pegawai antar jabatan sebagai wujud dari pengembangan karier pegawai.</t>
  </si>
  <si>
    <t>Ya, jika sudah dilakukan monitoring dan evaluasi terhadap kegiatan mutasi yang telah dilakukan dalam kaitannya dengan perbaikan kinerja.</t>
  </si>
  <si>
    <t>Ya, jika sudah dilakukan Training Need Analysis Untuk pengembangan kompetensi.</t>
  </si>
  <si>
    <t>Ya, jika Tim telah dibentuk di dalam unit kerja.</t>
  </si>
  <si>
    <t>ya, jika pimpinan menjadi contoh pelaksanaan nilai-nilai organisasi.</t>
  </si>
  <si>
    <t>Ya, jika memiliki  rencana kerja pembangunan Zona Integritas.</t>
  </si>
  <si>
    <t>Ya</t>
  </si>
  <si>
    <t>A</t>
  </si>
  <si>
    <t>a</t>
  </si>
  <si>
    <t>b</t>
  </si>
  <si>
    <t>MANAJEMEN PERUBAHAN</t>
  </si>
  <si>
    <t xml:space="preserve">Agen perubahan telah membuat perubahan yang konkret di Instansi (dalam 1 tahun) </t>
  </si>
  <si>
    <t>PENATAAN TATALAKSANA</t>
  </si>
  <si>
    <t xml:space="preserve">Telah disusun peta proses bisnis dengan adanya penyederhanaan jabatan 
 </t>
  </si>
  <si>
    <t>Penurunan pelanggaran disiplin pegawai</t>
  </si>
  <si>
    <t>PENGUATAN AKUNTABILITAS</t>
  </si>
  <si>
    <t>PENGUATAN PENGAWASAN</t>
  </si>
  <si>
    <t xml:space="preserve">Penyampaian Laporan Harta Kekayaan Pejabat Negara (LHKPN) </t>
  </si>
  <si>
    <t>PENINGKATAN KUALITAS PELAYANAN PUBLIK</t>
  </si>
  <si>
    <t>Penanganan pengaduan pelayanan dilakukan melalui berbagai kanal/media secara responsive dan bertanggung jawab</t>
  </si>
  <si>
    <t>Misalkan dengan kebijakan 1 Agen 1 Perubahan Persentase diperoleh dari Jumlah Perubahan yang dibuat dibagi dengan Jumlah Agen Perubahan</t>
  </si>
  <si>
    <t>Persentase pernurunan pelanggaran disiplin pegawai diperoleh dari Jumlah pelanggaran tahun sebelumnya dikurangi Jumlah pelanggaran tahun ini kemudian dibagi dengan Jumlah pelanggaran tahun sebelumnya</t>
  </si>
  <si>
    <t>Persentase diperoleh dari Jumlah Sasaran Kinerja yang tercapai 100% atau lebih dibagi dengan Jumlah Sasaran Kinerja</t>
  </si>
  <si>
    <t>Penilaian ini menghitung realisasi penanganan pengaduan masyarakat yang harus diselesaikan</t>
  </si>
  <si>
    <t>Persentase diperoleh dari Jumlah perijinan/pelayanan yang telah dipermudah dibagi dengan Jumlah perijinan/pelayanan yang terdata/terdaftar</t>
  </si>
  <si>
    <t>Hasil assement telah dijadikan pertimbangan untuk mutasi dan pengembangan karir pegawai</t>
  </si>
  <si>
    <t xml:space="preserve"> Rencana Pembangunan Zona Integritas </t>
  </si>
  <si>
    <t>Pemantauan dan Evaluasi Pembangunan WBK/WBBM</t>
  </si>
  <si>
    <t xml:space="preserve">Perubahan pola pikir dan budaya kerja </t>
  </si>
  <si>
    <t xml:space="preserve">Keterbukaan Informasi Publik </t>
  </si>
  <si>
    <t>Pola Mutasi Internal</t>
  </si>
  <si>
    <t xml:space="preserve">Sistem Informasi Kepegawaian </t>
  </si>
  <si>
    <t xml:space="preserve">Pengelolaan Akuntabilitas Kinerja </t>
  </si>
  <si>
    <t xml:space="preserve">Pengendalian Gratifikasi </t>
  </si>
  <si>
    <t>Pengaduan Masyarakat</t>
  </si>
  <si>
    <t>Whistle-Blowing System</t>
  </si>
  <si>
    <t xml:space="preserve">Penanganan Benturan Kepentingan </t>
  </si>
  <si>
    <t>Standar Pelayanan</t>
  </si>
  <si>
    <t>Budaya Pelayanan Prima</t>
  </si>
  <si>
    <t>Perubahan yang dibuat Agen Perubahan telah terintegrasi dalam sistem manajemen</t>
  </si>
  <si>
    <t>- Jumlah Perubahan yang dibuat</t>
  </si>
  <si>
    <t>- Jumlah Perubahan yang telah diintegrasikan dalam sistem manajemen</t>
  </si>
  <si>
    <t>REFORM</t>
  </si>
  <si>
    <t>Komitmen dalam perubahan</t>
  </si>
  <si>
    <t>Komitmen Pimpinan</t>
  </si>
  <si>
    <t>Pimpinan memiliki komitmen terhadap pelaksanaan reformasi birokrasi, dengan adanya target capaian reformasi yang jelas di dokumen perencanaan</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</si>
  <si>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</si>
  <si>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</si>
  <si>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</si>
  <si>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</si>
  <si>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Peta Proses Bisnis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</si>
  <si>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</si>
  <si>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</si>
  <si>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</si>
  <si>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</si>
  <si>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</si>
  <si>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</si>
  <si>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</si>
  <si>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Transformasi digital pada bidang administrasi pemerintahan telah mampu memberikan nilai manfaat bagi unit kerja secara optimal</t>
  </si>
  <si>
    <t>Transformasi digital pada bidang pelayanan publik telah mampu memberikan nilai manfaat bagi unit kerja secara optimal</t>
  </si>
  <si>
    <t>Kinerja Individu</t>
  </si>
  <si>
    <t>Pelanggaran Disiplin Pegawai</t>
  </si>
  <si>
    <t>Hasil Capaian/Monitoring Perjanjian Kinerja telah dijadikan dasar sebagai pemberian reward and punishment bagi organisasi</t>
  </si>
  <si>
    <t xml:space="preserve">Persentase Sasaran dengan capaian 100% atau lebih </t>
  </si>
  <si>
    <t>Kerangka Logis Kinerja</t>
  </si>
  <si>
    <t>Penyampaian Laporan Harta Kekayaan Aparatur Sipil Negara (LHKASN)</t>
  </si>
  <si>
    <t>- Jumlah pengaduan masyarakat yang harus ditindaklanjuti</t>
  </si>
  <si>
    <t>- Jumlah pengaduan masyarakat yang sedang diproses</t>
  </si>
  <si>
    <t>- Jumlah pengaduan masyarakat yang  selesai ditindaklanjuti</t>
  </si>
  <si>
    <t>Upaya dan/atau Inovasi Pelayanan Publik</t>
  </si>
  <si>
    <t>Penanganan Pengaduan Pelayanan dan Konsultasi</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</si>
  <si>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</si>
  <si>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PENGUNGKIT</t>
  </si>
  <si>
    <t>Penilaian</t>
  </si>
  <si>
    <t>Bobot</t>
  </si>
  <si>
    <t>Penjelasan</t>
  </si>
  <si>
    <t>Catatan/Keterangan/Penjelasan</t>
  </si>
  <si>
    <t>PEMENUHAN</t>
  </si>
  <si>
    <t>i.</t>
  </si>
  <si>
    <t>Tim Reformasi Birokrasi</t>
  </si>
  <si>
    <t>3.</t>
  </si>
  <si>
    <t>4.</t>
  </si>
  <si>
    <t>ii.</t>
  </si>
  <si>
    <t>iii.</t>
  </si>
  <si>
    <t>iv.</t>
  </si>
  <si>
    <t>v.</t>
  </si>
  <si>
    <t>vi.</t>
  </si>
  <si>
    <t>-</t>
  </si>
  <si>
    <r>
      <rPr>
        <b/>
        <i/>
        <sz val="12"/>
        <color theme="1"/>
        <rFont val="Bookman Old Style"/>
        <family val="1"/>
      </rPr>
      <t>Assessment</t>
    </r>
    <r>
      <rPr>
        <b/>
        <sz val="12"/>
        <color theme="1"/>
        <rFont val="Bookman Old Style"/>
        <family val="1"/>
      </rPr>
      <t xml:space="preserve"> Pegawai</t>
    </r>
  </si>
  <si>
    <t>- Jumlah pelanggaran tahun sebelumnya</t>
  </si>
  <si>
    <t>- Jumlah pelanggaran tahun ini</t>
  </si>
  <si>
    <t>- Jumlah pelanggaran yang telah diberikan sanksi/hukuman</t>
  </si>
  <si>
    <t xml:space="preserve">- Jumlah Sasaran Kinerja </t>
  </si>
  <si>
    <t xml:space="preserve">- Jumlah Sasaran Kinerja yang tercapai 100% atau lebih </t>
  </si>
  <si>
    <t>TOTAL PENGUNGKIT</t>
  </si>
  <si>
    <t>HASIL</t>
  </si>
  <si>
    <t>Nilai Survey Persepsi Korupsi (Survei Eksternal)</t>
  </si>
  <si>
    <t>Nilai Persepsi Kualitas Pelayanan (Survei Eksternal)</t>
  </si>
  <si>
    <t>Diisi dengan Nilai Hasil Survei Eksternal Kualitas Pelayanan (Indeks Persepsi Kualitas Pelayanan Publik / IPKP)</t>
  </si>
  <si>
    <t>Diisi dengan nilai hasil Survei Eksternal atas Persepsi Anti Korupsi (Indeks Persepsi Anti Korupsi / IPAK)</t>
  </si>
  <si>
    <t>Ya/Tidak</t>
  </si>
  <si>
    <t>PENATAAN SISTEM MANAJEMEN SDM APARATUR</t>
  </si>
  <si>
    <t>Nilai
(0-4)</t>
  </si>
  <si>
    <t>Meningkatnya capaian kinerja unit kerja</t>
  </si>
  <si>
    <t>Persentase penanganan pengaduan masyarakat</t>
  </si>
  <si>
    <r>
      <rPr>
        <i/>
        <sz val="12"/>
        <color theme="1"/>
        <rFont val="Bookman Old Style"/>
        <family val="1"/>
      </rPr>
      <t>Assessment</t>
    </r>
    <r>
      <rPr>
        <sz val="12"/>
        <color theme="1"/>
        <rFont val="Bookman Old Style"/>
        <family val="1"/>
      </rPr>
      <t xml:space="preserve"> Pegawai</t>
    </r>
  </si>
  <si>
    <t>Rekomendasi</t>
  </si>
  <si>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</si>
  <si>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</si>
  <si>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r>
      <t xml:space="preserve">a. Seluruh capaian kinerja (Perjanjian Kinerja) merupakan unsur dalam pemberian </t>
    </r>
    <r>
      <rPr>
        <i/>
        <sz val="12"/>
        <color theme="1"/>
        <rFont val="Bookman Old Style"/>
        <family val="1"/>
      </rPr>
      <t>reward and punishment</t>
    </r>
    <r>
      <rPr>
        <sz val="12"/>
        <color theme="1"/>
        <rFont val="Bookman Old Style"/>
        <family val="1"/>
      </rPr>
      <t xml:space="preserve">
b. Sebagian besar Capaian Kinerja (lebih dari 50% Perjanjian kinerja) merupakan unsur dalam pemberian </t>
    </r>
    <r>
      <rPr>
        <i/>
        <sz val="12"/>
        <color theme="1"/>
        <rFont val="Bookman Old Style"/>
        <family val="1"/>
      </rPr>
      <t>reward and punishment</t>
    </r>
    <r>
      <rPr>
        <sz val="12"/>
        <color theme="1"/>
        <rFont val="Bookman Old Style"/>
        <family val="1"/>
      </rPr>
      <t xml:space="preserve">
c. Sebagian kecil Capaian Kinerja (kurang dari 50% Perjanjian kinerja) merupakan unsur dalam pemberian </t>
    </r>
    <r>
      <rPr>
        <i/>
        <sz val="12"/>
        <color theme="1"/>
        <rFont val="Bookman Old Style"/>
        <family val="1"/>
      </rPr>
      <t>reward and punishment</t>
    </r>
    <r>
      <rPr>
        <sz val="12"/>
        <color theme="1"/>
        <rFont val="Bookman Old Style"/>
        <family val="1"/>
      </rPr>
      <t xml:space="preserve">
d. Capaian Kinerja (Perjanjian kinerja) belum menjadi unsur dalam pemberian </t>
    </r>
    <r>
      <rPr>
        <i/>
        <sz val="12"/>
        <color theme="1"/>
        <rFont val="Bookman Old Style"/>
        <family val="1"/>
      </rPr>
      <t>reward and punishment</t>
    </r>
  </si>
  <si>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</si>
  <si>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 Jika monitoring dan evaluasi melibatkan pimpinan dan dilakukan secara berkala
b. Jika monitoring dan evaluasi melibatkan pimpinan tetapi tidak secara berkala
c. Jika monitoring dan evaluasi tidak melibatkan pimpinan dan tidak secara berkala
d. Jika tidak terdapat monitoring dan evaluasi terhadap pembangunan zona integritas</t>
  </si>
  <si>
    <t>a. Jika dengan prosedur/mekanisme yang jelas dan mewakili seluruh unsur dalam unit kerja
b. Jika sebagian menggunakan prosedur yang mewakili sebagian besar unsur dalam unit kerja
c. Jika tidak di seleksi.</t>
  </si>
  <si>
    <t>a. Jika semua target-target prioritas relevan dengan tujuanpembangunan WBK/WBBM
b. Jika sebagian target-target prioritas relevan dengan tujuan pembangunan WBK/WBBM
c. Jika tidak ada target-target prioritas yang relevan dengan tujuan pembangunan WBK/WBBM</t>
  </si>
  <si>
    <t>a. Jika agen perubahan telah ditetapkan dan  berkontribusi terhadap perubahan pada unit kerjanya
b. Jika agen perubahan telah ditetapkan namun belum berkontribusi terhadap perubahan pada unit kerjanya
c. Jika belum terdapat agen perubahan</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</si>
  <si>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</si>
  <si>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r>
      <t>a. Jika unit memiliki sistem pengukuran kinerja (</t>
    </r>
    <r>
      <rPr>
        <i/>
        <sz val="12"/>
        <color theme="1"/>
        <rFont val="Bookman Old Style"/>
        <family val="1"/>
      </rPr>
      <t>e-performance</t>
    </r>
    <r>
      <rPr>
        <sz val="12"/>
        <color theme="1"/>
        <rFont val="Bookman Old Style"/>
        <family val="1"/>
      </rPr>
      <t>/e-sakip) yang menggunakan teknologi informasi dan juga melakukan inovasi
b. Jika unit memiliki sistem pengukuran kinerja (</t>
    </r>
    <r>
      <rPr>
        <i/>
        <sz val="12"/>
        <color theme="1"/>
        <rFont val="Bookman Old Style"/>
        <family val="1"/>
      </rPr>
      <t>e-performance</t>
    </r>
    <r>
      <rPr>
        <sz val="12"/>
        <color theme="1"/>
        <rFont val="Bookman Old Style"/>
        <family val="1"/>
      </rPr>
      <t>/e-sakip) yang menggunakan teknologi informasi
c. Jika belum memiliki sistem pengukuran kinerja (</t>
    </r>
    <r>
      <rPr>
        <i/>
        <sz val="12"/>
        <color theme="1"/>
        <rFont val="Bookman Old Style"/>
        <family val="1"/>
      </rPr>
      <t>e-performance</t>
    </r>
    <r>
      <rPr>
        <sz val="12"/>
        <color theme="1"/>
        <rFont val="Bookman Old Style"/>
        <family val="1"/>
      </rPr>
      <t>/e-sakip) yang menggunakan teknologi informasi</t>
    </r>
  </si>
  <si>
    <r>
      <t xml:space="preserve">a. Jika telah dilakukan pengelolaan media/aktivitas interaktif yang efektif untuk menginformasikan pembangunan ZI kepada internal dan </t>
    </r>
    <r>
      <rPr>
        <i/>
        <sz val="12"/>
        <color theme="1"/>
        <rFont val="Bookman Old Style"/>
        <family val="1"/>
      </rPr>
      <t>stakeholder</t>
    </r>
    <r>
      <rPr>
        <sz val="12"/>
        <color theme="1"/>
        <rFont val="Bookman Old Style"/>
        <family val="1"/>
      </rPr>
      <t xml:space="preserve"> secara berkala
b. Jika pengelolaan media/aktivitas interaktif dilakukan secara terbatas dan tidak secara berkala
c. Jika pengelolaan media/aktivitas interaktif belum dilakukan</t>
    </r>
  </si>
  <si>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</si>
  <si>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</si>
  <si>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</si>
  <si>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</si>
  <si>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</si>
  <si>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</si>
  <si>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</si>
  <si>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a. Jika seluruh pelaporan kinerja telah memberikan informasi tentang kinerja
b. Jika sebagian pelaporan kinerja belum memberikan informasi tentang kinerja
c. Jika seluruh pelaporan kinerja belum memberikan informasi tentang kinerja</t>
  </si>
  <si>
    <t>a. Jika public campaign telah dilakukan secara berkala
b. Jika public campaign dilakukan tidak secara berkala
c. Jika belum dilakukan public campaign</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</si>
  <si>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</si>
  <si>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 xml:space="preserve">a. Jika SPI telah diinformasikan dan dikomunikasikan kepada seluruh pihak terkait
b. Jika SPI telah diinformasikan dan dikomunikasikan kepada sebagian pihak terkait
c. Jika SPI belum diinformasikan dan dikomunikasikan kepada pihak terkait
</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</si>
  <si>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</si>
  <si>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</si>
  <si>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a. Jika seluruh hasil evaluasi atas penanganan pengaduan telah ditindaklanjuti oleh unit kerja
b. Jika sebagian hasil evaluasi atas penanganan pengaduan telah ditindaklanjuti oleh unit kerja
c. Jika hasil evaluasi atas penanganan pengaduan belum ditindaklanjuti</t>
  </si>
  <si>
    <r>
      <t xml:space="preserve">a. Jika unit kerja menerapkan seluruh kebijakan </t>
    </r>
    <r>
      <rPr>
        <i/>
        <sz val="12"/>
        <color theme="1"/>
        <rFont val="Bookman Old Style"/>
        <family val="1"/>
      </rPr>
      <t>Whistle Blowing System</t>
    </r>
    <r>
      <rPr>
        <sz val="12"/>
        <color theme="1"/>
        <rFont val="Bookman Old Style"/>
        <family val="1"/>
      </rPr>
      <t xml:space="preserve"> sesuai dengan yang ditetapkan organisasi dan juga membuat inovasi terkait pelaksanaan </t>
    </r>
    <r>
      <rPr>
        <i/>
        <sz val="12"/>
        <color theme="1"/>
        <rFont val="Bookman Old Style"/>
        <family val="1"/>
      </rPr>
      <t>Whistle Blowing System</t>
    </r>
    <r>
      <rPr>
        <sz val="12"/>
        <color theme="1"/>
        <rFont val="Bookman Old Style"/>
        <family val="1"/>
      </rPr>
      <t xml:space="preserve"> yang sesuai dengan karakteristik unit kerja
b. Jika unit kerja menerapkan kebijakan </t>
    </r>
    <r>
      <rPr>
        <i/>
        <sz val="12"/>
        <color theme="1"/>
        <rFont val="Bookman Old Style"/>
        <family val="1"/>
      </rPr>
      <t>Whistle Blowing System</t>
    </r>
    <r>
      <rPr>
        <sz val="12"/>
        <color theme="1"/>
        <rFont val="Bookman Old Style"/>
        <family val="1"/>
      </rPr>
      <t xml:space="preserve"> sesuai dengan yang ditetapkan organisasi
c. Jika unit kerja belum menerapkan kebijakan </t>
    </r>
    <r>
      <rPr>
        <i/>
        <sz val="12"/>
        <color theme="1"/>
        <rFont val="Bookman Old Style"/>
        <family val="1"/>
      </rPr>
      <t>Whistle Blowing System</t>
    </r>
  </si>
  <si>
    <r>
      <t xml:space="preserve">a. Jika penerapan </t>
    </r>
    <r>
      <rPr>
        <i/>
        <sz val="12"/>
        <color theme="1"/>
        <rFont val="Bookman Old Style"/>
        <family val="1"/>
      </rPr>
      <t>Whistle Blowing System</t>
    </r>
    <r>
      <rPr>
        <sz val="12"/>
        <color theme="1"/>
        <rFont val="Bookman Old Style"/>
        <family val="1"/>
      </rPr>
      <t xml:space="preserve"> dimonitoring dan evaluasi secara berkala
b. Jika penerapan </t>
    </r>
    <r>
      <rPr>
        <i/>
        <sz val="12"/>
        <color theme="1"/>
        <rFont val="Bookman Old Style"/>
        <family val="1"/>
      </rPr>
      <t>Whistle Blowing System</t>
    </r>
    <r>
      <rPr>
        <sz val="12"/>
        <color theme="1"/>
        <rFont val="Bookman Old Style"/>
        <family val="1"/>
      </rPr>
      <t xml:space="preserve"> dimonitoring dan evaluasi tidak secara berkala
c. Jika penerapan </t>
    </r>
    <r>
      <rPr>
        <i/>
        <sz val="12"/>
        <color theme="1"/>
        <rFont val="Bookman Old Style"/>
        <family val="1"/>
      </rPr>
      <t>Whistle Blowing System</t>
    </r>
    <r>
      <rPr>
        <sz val="12"/>
        <color theme="1"/>
        <rFont val="Bookman Old Style"/>
        <family val="1"/>
      </rPr>
      <t xml:space="preserve"> belum di monitoring dan evaluasi</t>
    </r>
  </si>
  <si>
    <r>
      <t xml:space="preserve">a. Jika seluruh hasil evaluasi atas penerapan </t>
    </r>
    <r>
      <rPr>
        <i/>
        <sz val="12"/>
        <color theme="1"/>
        <rFont val="Bookman Old Style"/>
        <family val="1"/>
      </rPr>
      <t>Whistle Blowing System</t>
    </r>
    <r>
      <rPr>
        <sz val="12"/>
        <color theme="1"/>
        <rFont val="Bookman Old Style"/>
        <family val="1"/>
      </rPr>
      <t xml:space="preserve"> telah ditindaklanjuti oleh unit kerja
b. Jika sebagian hasil evaluasi atas penerapan </t>
    </r>
    <r>
      <rPr>
        <i/>
        <sz val="12"/>
        <color theme="1"/>
        <rFont val="Bookman Old Style"/>
        <family val="1"/>
      </rPr>
      <t>Whistle Blowing System</t>
    </r>
    <r>
      <rPr>
        <sz val="12"/>
        <color theme="1"/>
        <rFont val="Bookman Old Style"/>
        <family val="1"/>
      </rPr>
      <t xml:space="preserve"> telah ditindaklanjuti oleh unit kerja
c. Jika hasil evaluasi atas penerapan </t>
    </r>
    <r>
      <rPr>
        <i/>
        <sz val="12"/>
        <color theme="1"/>
        <rFont val="Bookman Old Style"/>
        <family val="1"/>
      </rPr>
      <t>Whistle Blowing System</t>
    </r>
    <r>
      <rPr>
        <sz val="12"/>
        <color theme="1"/>
        <rFont val="Bookman Old Style"/>
        <family val="1"/>
      </rPr>
      <t xml:space="preserve"> belum ditindaklanjuti</t>
    </r>
  </si>
  <si>
    <t>a. Jika penanganan Benturan Kepentingan dievaluasi secara berkala oleh unit kerja
b. Jika penanganan Benturan Kepentingan dievaluasi tetapi tidak secara berkala oleh unit kerja
c. Jika penanganan Benturan Kepentingan belum dievaluasi oleh unit kerja</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</si>
  <si>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</si>
  <si>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r>
      <t xml:space="preserve">a. Seluruh hasil </t>
    </r>
    <r>
      <rPr>
        <i/>
        <sz val="12"/>
        <color theme="1"/>
        <rFont val="Bookman Old Style"/>
        <family val="1"/>
      </rPr>
      <t>assessment</t>
    </r>
    <r>
      <rPr>
        <sz val="12"/>
        <color theme="1"/>
        <rFont val="Bookman Old Style"/>
        <family val="1"/>
      </rPr>
      <t xml:space="preserve"> dijadikan dasar mutasi internal dan pengembangan kompetensi pegawai
b. Hasil </t>
    </r>
    <r>
      <rPr>
        <i/>
        <sz val="12"/>
        <color theme="1"/>
        <rFont val="Bookman Old Style"/>
        <family val="1"/>
      </rPr>
      <t>assessment</t>
    </r>
    <r>
      <rPr>
        <sz val="12"/>
        <color theme="1"/>
        <rFont val="Bookman Old Style"/>
        <family val="1"/>
      </rPr>
      <t xml:space="preserve"> belum seluruhnya dijadikan mutasi internal dan pengembangan kompetensi pegawai
c. Hasil </t>
    </r>
    <r>
      <rPr>
        <i/>
        <sz val="12"/>
        <color theme="1"/>
        <rFont val="Bookman Old Style"/>
        <family val="1"/>
      </rPr>
      <t>assessment</t>
    </r>
    <r>
      <rPr>
        <sz val="12"/>
        <color theme="1"/>
        <rFont val="Bookman Old Style"/>
        <family val="1"/>
      </rPr>
      <t xml:space="preserve"> belum dijadikan dasar mutasi internal dan pengembangan kompetensi pegawai</t>
    </r>
  </si>
  <si>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</si>
  <si>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</si>
  <si>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</si>
  <si>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</si>
  <si>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</si>
  <si>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</si>
  <si>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</si>
  <si>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</si>
  <si>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</si>
  <si>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r>
      <t xml:space="preserve">a. Jika seluruh ukuran kinerja individu telah memiliki kesesuaian dengan indikator kinerja individu level diatasnya serta menggambarkan </t>
    </r>
    <r>
      <rPr>
        <i/>
        <sz val="12"/>
        <color theme="1"/>
        <rFont val="Bookman Old Style"/>
        <family val="1"/>
      </rPr>
      <t>logic model</t>
    </r>
    <r>
      <rPr>
        <sz val="12"/>
        <color theme="1"/>
        <rFont val="Bookman Old Style"/>
        <family val="1"/>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</si>
  <si>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</si>
  <si>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</si>
  <si>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</si>
  <si>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</si>
  <si>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</si>
  <si>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</si>
  <si>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</si>
  <si>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</si>
  <si>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</si>
  <si>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</si>
  <si>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</si>
  <si>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</si>
  <si>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</si>
  <si>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</si>
  <si>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</si>
  <si>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 Jumlah Agen Perubahan</t>
  </si>
  <si>
    <t>- Jumlah perijinan/pelayanan yang terdata/terdaftar</t>
  </si>
  <si>
    <t xml:space="preserve">- Jumlah perijinan/pelayanan yang telah dipermudah </t>
  </si>
  <si>
    <t>Capaian Kinerja Lebih Baik dari pada Capaian Kinerja Sebelumnya</t>
  </si>
  <si>
    <t>Unit kerja telah membentuk tim untuk melakukan pembangunan Zona Integritas</t>
  </si>
  <si>
    <r>
      <t xml:space="preserve">Terdapat dokumen rencana </t>
    </r>
    <r>
      <rPr>
        <sz val="12"/>
        <rFont val="Bookman Old Style"/>
        <family val="1"/>
      </rPr>
      <t>kerja</t>
    </r>
    <r>
      <rPr>
        <sz val="12"/>
        <color theme="1"/>
        <rFont val="Bookman Old Style"/>
        <family val="1"/>
      </rPr>
      <t xml:space="preserve"> pembangunan Zona Integritas menuju WBK/WBBM</t>
    </r>
  </si>
  <si>
    <t>Penentuan anggota Tim dipilih melalui prosedur/mekanisme yang jelas</t>
  </si>
  <si>
    <t>Dalam dokumen pembangunan terdapat target-target prioritas yang relevan dengan tujuan pembangunan WBK/WBBM</t>
  </si>
  <si>
    <t>Terdapat mekanisme atau media untuk mensosialisasikan pembangunan WBK/WBBM</t>
  </si>
  <si>
    <t>Seluruh kegiatan pembangunan sudah dilaksanakan sesuai dengan rencana</t>
  </si>
  <si>
    <t>Terdapat monitoring dan evaluasi terhadap pembangunan Zona Integritas</t>
  </si>
  <si>
    <t>Hasil Monitoring dan Evaluasi telah ditindaklanjuti</t>
  </si>
  <si>
    <r>
      <t xml:space="preserve">Pimpinan berperan sebagai </t>
    </r>
    <r>
      <rPr>
        <i/>
        <sz val="12"/>
        <color theme="1"/>
        <rFont val="Bookman Old Style"/>
        <family val="1"/>
      </rPr>
      <t>role model</t>
    </r>
    <r>
      <rPr>
        <sz val="12"/>
        <color theme="1"/>
        <rFont val="Bookman Old Style"/>
        <family val="1"/>
      </rPr>
      <t xml:space="preserve"> dalam pelaksanaan Pembangunan WBK/WBBM</t>
    </r>
  </si>
  <si>
    <t>Sudah ditetapkan agen perubahan</t>
  </si>
  <si>
    <t>Telah dibangun budaya kerja dan pola pikir di lingkungan organisasi</t>
  </si>
  <si>
    <t>Anggota organisasi terlibat dalam pembangunan Zona Integritas menuju WBK/WBBM</t>
  </si>
  <si>
    <t xml:space="preserve">Prosedur Operasional Tetap (SOP) Kegiatan Utama </t>
  </si>
  <si>
    <t>SOP mengacu pada peta proses bisnis instansi</t>
  </si>
  <si>
    <t>Prosedur operasional tetap (SOP) telah diterapkan</t>
  </si>
  <si>
    <t>Prosedur operasional tetap (SOP) telah dievaluasi</t>
  </si>
  <si>
    <t>Sistem Pemerintahan Berbasis Elektronik (SPBE)</t>
  </si>
  <si>
    <t xml:space="preserve">Rencana Pembangunan Zona Integritas </t>
  </si>
  <si>
    <t xml:space="preserve">Perubahan Pola Pikir dan Budaya Kerja </t>
  </si>
  <si>
    <t xml:space="preserve">Perencanaan Kebutuhan Pegawai sesuai dengan Kebutuhan Organisasi </t>
  </si>
  <si>
    <t xml:space="preserve">Pengembangan Pegawai Berbasis Kompetensi </t>
  </si>
  <si>
    <t xml:space="preserve">Penetapan Kinerja Individu </t>
  </si>
  <si>
    <t xml:space="preserve">Penegakan Aturan Disiplin/Kode Etik/Kode Perilaku Pegawai </t>
  </si>
  <si>
    <t>Keterlibatan Pimpinan</t>
  </si>
  <si>
    <t>Penilaian Kepuasan Terhadap Pelayanan</t>
  </si>
  <si>
    <t>Komitmen dalam Perubahan</t>
  </si>
  <si>
    <r>
      <t xml:space="preserve">Pemberian </t>
    </r>
    <r>
      <rPr>
        <i/>
        <sz val="12"/>
        <color theme="1"/>
        <rFont val="Bookman Old Style"/>
        <family val="1"/>
      </rPr>
      <t>Reward and Punishment</t>
    </r>
  </si>
  <si>
    <t>Nilai Persepsi Kualitas Pelayanan (Survei Eksternal :
Indeks Persepsi Kualitas Pelayanan Publik / IPKP)</t>
  </si>
  <si>
    <t>Nilai Survey Persepsi Korupsi (Survei Eksternal :
Indeks Persepsi Anti Korupsi/ IPAK)</t>
  </si>
  <si>
    <t>Sistem pengukuran kinerja unit sudah menggunakan teknologi informasi</t>
  </si>
  <si>
    <t>Operasionalisasi manajemen SDM sudah menggunakan teknologi informasi</t>
  </si>
  <si>
    <t>Pemberian pelayanan kepada publik sudah menggunakan teknologi informasi</t>
  </si>
  <si>
    <t>Telah dilakukan monitoring dan dan evaluasi terhadap pemanfaatan teknologi informasi dalam pengukuran kinerja unit, operasionalisasi SDM, dan pemberian layanan kepada publik</t>
  </si>
  <si>
    <t>Kebijakan tentang  keterbukaan informasi publik telah diterapkan</t>
  </si>
  <si>
    <t>Telah dilakukan monitoring dan evaluasi pelaksanaan kebijakan keterbukaan informasi publik</t>
  </si>
  <si>
    <t>Kebutuhan pegawai yang disusun oleh unit kerja mengacu kepada peta jabatan dan hasil analisis beban kerja untuk masing-masing jabatan</t>
  </si>
  <si>
    <t>Penempatan pegawai hasil rekrutmen murni mengacu kepada kebutuhan pegawai yang telah disusun per jabatan</t>
  </si>
  <si>
    <t>Telah dilakukan monitoring dan dan evaluasi terhadap penempatan pegawai rekrutmen untuk memenuhi kebutuhan jabatan dalam organisasi telah memberikan perbaikan terhadap kinerja unit kerja</t>
  </si>
  <si>
    <t>Dalam melakukan pengembangan karier pegawai, telah dilakukan mutasi pegawai antar jabatan</t>
  </si>
  <si>
    <t>Dalam melakukan mutasi pegawai antar jabatan telah memperhatikan kompetensi jabatan dan mengikuti pola mutasi yang telah ditetapkan</t>
  </si>
  <si>
    <t>Telah dilakukan monitoring dan evaluasi terhadap kegiatan mutasi yang telah dilakukan dalam kaitannya dengan perbaikan kinerja</t>
  </si>
  <si>
    <r>
      <t xml:space="preserve">Unit Kerja melakukan </t>
    </r>
    <r>
      <rPr>
        <i/>
        <sz val="12"/>
        <rFont val="Bookman Old Style"/>
        <family val="1"/>
      </rPr>
      <t>Training Need Analysis</t>
    </r>
    <r>
      <rPr>
        <sz val="12"/>
        <rFont val="Bookman Old Style"/>
        <family val="1"/>
      </rPr>
      <t xml:space="preserve"> Untuk pengembangan kompetensi</t>
    </r>
  </si>
  <si>
    <t>Dalam menyusun rencana pengembangan kompetensi pegawai, telah mempertimbangkan hasil pengelolaan kinerja pegawai</t>
  </si>
  <si>
    <t>Pegawai di Unit Kerja telah memperoleh kesempatan/hak untuk mengikuti diklat maupun pengembangan kompetensi lainnya</t>
  </si>
  <si>
    <r>
      <t>Dalam pelaksanaan pengembangan kompetensi, unit kerja melakukan upaya pengembangan kompetensi kepada pegawai (seperti pengikutsertaan pada lembaga pelatihan, i</t>
    </r>
    <r>
      <rPr>
        <i/>
        <sz val="12"/>
        <color theme="1"/>
        <rFont val="Bookman Old Style"/>
        <family val="1"/>
      </rPr>
      <t>n-house training</t>
    </r>
    <r>
      <rPr>
        <sz val="12"/>
        <color theme="1"/>
        <rFont val="Bookman Old Style"/>
        <family val="1"/>
      </rPr>
      <t>, coaching, atau mentoring)</t>
    </r>
  </si>
  <si>
    <t>Telah dilakukan monitoring dan evaluasi terhadap hasil pengembangan kompetensi dalam kaitannya dengan perbaikan kinerja</t>
  </si>
  <si>
    <t>Terdapat penetapan kinerja individu yang terkait dengan perjanjian kinerja organisasi</t>
  </si>
  <si>
    <t>Ukuran kinerja individu telah memiliki kesesuaian dengan indikator kinerja individu level diatasnya</t>
  </si>
  <si>
    <t>Pengukuran kinerja individu dilakukan secara periodik</t>
  </si>
  <si>
    <r>
      <t xml:space="preserve">Ya, jika hasil hasil penilaian kinerja individu telah dijadikan dasar untuk pemberian </t>
    </r>
    <r>
      <rPr>
        <i/>
        <sz val="12"/>
        <color theme="1"/>
        <rFont val="Bookman Old Style"/>
        <family val="1"/>
      </rPr>
      <t>reward</t>
    </r>
    <r>
      <rPr>
        <sz val="12"/>
        <color theme="1"/>
        <rFont val="Bookman Old Style"/>
        <family val="1"/>
      </rPr>
      <t xml:space="preserve"> (Seperti: pengembangan karir individu, atau penghargaan)</t>
    </r>
  </si>
  <si>
    <r>
      <t xml:space="preserve">Hasil penilaian kinerja individu telah dijadikan dasar untuk pemberian </t>
    </r>
    <r>
      <rPr>
        <i/>
        <sz val="12"/>
        <rFont val="Bookman Old Style"/>
        <family val="1"/>
      </rPr>
      <t>reward</t>
    </r>
  </si>
  <si>
    <t>Aturan disiplin/kode etik/kode perilaku telah dilaksanakan/diimplementasikan</t>
  </si>
  <si>
    <t>Data informasi kepegawaian unit kerja telah dimutakhirkan secara berkala</t>
  </si>
  <si>
    <t>a. Jika pimpinan selalu terlibat dalam seluruh tahapan penyusunan perencanaan
b. Jika pimpinan ikut terlibat dalam sebagian tahapan penyusunan perencanaan
c. Jika tidak ada keterlibatan pimpinan dalam penyusunan perencanaan (hanya menandatangani)</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</si>
  <si>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</si>
  <si>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</si>
  <si>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</si>
  <si>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Dokumen perencanaan kinerja sudah ada</t>
  </si>
  <si>
    <t>ya, jika unit kerja memiliki dokumen perencanaan kinerja lengkap</t>
  </si>
  <si>
    <t>Perencanaan kinerja telah berorientasi hasil</t>
  </si>
  <si>
    <t>Terdapat penetapan Indikator Kinerja Utama (IKU)</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</si>
  <si>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</si>
  <si>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</si>
  <si>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</si>
  <si>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memiliki IKU</t>
  </si>
  <si>
    <t>ya, jika perencanaan kinerja telah berorientasi hasil</t>
  </si>
  <si>
    <t>Laporan kinerja telah memberikan informasi tentang kinerja</t>
  </si>
  <si>
    <t>a. Jika seluruh SDM pengelola akuntabilitas kinerja kompeten
b. Jika sebagian SDM pengelola akuntabilitas kinerja kompeten
c. Jika seluruh SDM pengelola akuntabilitas kinerja belum ada yang kompeten</t>
  </si>
  <si>
    <r>
      <t xml:space="preserve">Telah dilakukan </t>
    </r>
    <r>
      <rPr>
        <i/>
        <sz val="12"/>
        <color theme="1"/>
        <rFont val="Bookman Old Style"/>
        <family val="1"/>
      </rPr>
      <t xml:space="preserve">public campaign </t>
    </r>
    <r>
      <rPr>
        <sz val="12"/>
        <color theme="1"/>
        <rFont val="Bookman Old Style"/>
        <family val="1"/>
      </rPr>
      <t>tentang pengendalian gratifikasi</t>
    </r>
  </si>
  <si>
    <t>Pengendalian gratifikasi telah diimplementasikan</t>
  </si>
  <si>
    <t>Penerapan Sistem Pengendalian Intern Pemerintah (SPIP)</t>
  </si>
  <si>
    <t>Telah dibangun lingkungan pengendalian</t>
  </si>
  <si>
    <t>Telah dilakukan penilaian risiko atas pelaksanaan kebijakan</t>
  </si>
  <si>
    <t>Telah dilakukan kegiatan pengendalian untuk meminimalisir risiko yang telah diidentifikasi</t>
  </si>
  <si>
    <t>SPI telah diinformasikan dan dikomunikasikan kepada seluruh pihak terkait</t>
  </si>
  <si>
    <t>Kebijakan Pengaduan masyarakat telah diimplementasikan</t>
  </si>
  <si>
    <t>Telah dilakukan monitoring dan evaluasi atas penanganan pengaduan masyarakat</t>
  </si>
  <si>
    <t>Hasil evaluasi atas penanganan pengaduan masyarakat telah ditindaklanjuti</t>
  </si>
  <si>
    <r>
      <rPr>
        <i/>
        <sz val="12"/>
        <color theme="1"/>
        <rFont val="Bookman Old Style"/>
        <family val="1"/>
      </rPr>
      <t xml:space="preserve">Whistle Blowing System </t>
    </r>
    <r>
      <rPr>
        <sz val="12"/>
        <color theme="1"/>
        <rFont val="Bookman Old Style"/>
        <family val="1"/>
      </rPr>
      <t>telah diterapkan</t>
    </r>
  </si>
  <si>
    <r>
      <t xml:space="preserve">Telah dilakukan evaluasi atas penerapan </t>
    </r>
    <r>
      <rPr>
        <i/>
        <sz val="12"/>
        <rFont val="Bookman Old Style"/>
        <family val="1"/>
      </rPr>
      <t>Whistle Blowing System</t>
    </r>
  </si>
  <si>
    <r>
      <t xml:space="preserve">Hasil evaluasi atas penerapan </t>
    </r>
    <r>
      <rPr>
        <i/>
        <sz val="12"/>
        <rFont val="Bookman Old Style"/>
        <family val="1"/>
      </rPr>
      <t xml:space="preserve">Whistle Blowing System </t>
    </r>
    <r>
      <rPr>
        <sz val="12"/>
        <rFont val="Bookman Old Style"/>
        <family val="1"/>
      </rPr>
      <t>telah ditindaklanjuti</t>
    </r>
  </si>
  <si>
    <t>Telah terdapat identifikasi/pemetaan benturan kepentingan dalam tugas fungsi utama</t>
  </si>
  <si>
    <t>Penanganan Benturan Kepentingan telah disosialisasikan/internalisasi</t>
  </si>
  <si>
    <t>Penanganan Benturan Kepentingan telah diimplementasikan</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</si>
  <si>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</si>
  <si>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Telah dilakukan evaluasi atas Penanganan Benturan Kepentingan</t>
  </si>
  <si>
    <t>Hasil evaluasi atas Penanganan Benturan Kepentingan telah ditindaklanjuti</t>
  </si>
  <si>
    <t>Terdapat kebijakan standar pelayanan</t>
  </si>
  <si>
    <t>Standar pelayanan telah dimaklumatkan</t>
  </si>
  <si>
    <t>Informasi tentang pelayanan mudah diakses melalui berbagai media</t>
  </si>
  <si>
    <t>Terdapat sarana layanan terpadu/terintegrasi</t>
  </si>
  <si>
    <t>Terdapat inovasi pelayanan</t>
  </si>
  <si>
    <t>Telah dilakukan survey kepuasan masyarakat terhadap pelayanan</t>
  </si>
  <si>
    <t>Penilaian Kepuasan terhadap Pelayanan</t>
  </si>
  <si>
    <t>Hasil survei kepuasan masyarakat dapat diakses secara terbuka</t>
  </si>
  <si>
    <t>Dilakukan tindak lanjut atas hasil survei kepuasan masyarakat</t>
  </si>
  <si>
    <r>
      <t>Ukuran kinerja individu telah berorientasi hasil (</t>
    </r>
    <r>
      <rPr>
        <i/>
        <sz val="12"/>
        <color theme="1"/>
        <rFont val="Bookman Old Style"/>
        <family val="1"/>
      </rPr>
      <t>outcome</t>
    </r>
    <r>
      <rPr>
        <sz val="12"/>
        <color theme="1"/>
        <rFont val="Bookman Old Style"/>
        <family val="1"/>
      </rPr>
      <t>) sesuai pada levelnya</t>
    </r>
  </si>
  <si>
    <r>
      <t>a. Seluruh ukuran kinerja individu telah berorientasi hasil (</t>
    </r>
    <r>
      <rPr>
        <i/>
        <sz val="12"/>
        <color theme="1"/>
        <rFont val="Bookman Old Style"/>
        <family val="1"/>
      </rPr>
      <t>outcome</t>
    </r>
    <r>
      <rPr>
        <sz val="12"/>
        <color theme="1"/>
        <rFont val="Bookman Old Style"/>
        <family val="1"/>
      </rPr>
      <t>) sesuai pada levelnya
b. Sebagian ukuran kinerja individu telah berorientasi hasil (</t>
    </r>
    <r>
      <rPr>
        <i/>
        <sz val="12"/>
        <color theme="1"/>
        <rFont val="Bookman Old Style"/>
        <family val="1"/>
      </rPr>
      <t>outcome</t>
    </r>
    <r>
      <rPr>
        <sz val="12"/>
        <color theme="1"/>
        <rFont val="Bookman Old Style"/>
        <family val="1"/>
      </rPr>
      <t>) sesuai pada levelnya
c. Tidak ada ukuran kinerja individu yang berorientasi hasil (</t>
    </r>
    <r>
      <rPr>
        <i/>
        <sz val="12"/>
        <color theme="1"/>
        <rFont val="Bookman Old Style"/>
        <family val="1"/>
      </rPr>
      <t>outcome</t>
    </r>
    <r>
      <rPr>
        <sz val="12"/>
        <color theme="1"/>
        <rFont val="Bookman Old Style"/>
        <family val="1"/>
      </rPr>
      <t>)</t>
    </r>
  </si>
  <si>
    <r>
      <t xml:space="preserve">Pemberian </t>
    </r>
    <r>
      <rPr>
        <b/>
        <i/>
        <sz val="12"/>
        <color theme="1"/>
        <rFont val="Bookman Old Style"/>
        <family val="1"/>
      </rPr>
      <t>Reward and Punishment</t>
    </r>
  </si>
  <si>
    <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family val="1"/>
      </rPr>
      <t>Web</t>
    </r>
    <r>
      <rPr>
        <sz val="12"/>
        <color theme="1"/>
        <rFont val="Bookman Old Style"/>
        <family val="1"/>
      </rPr>
      <t xml:space="preserve">
7. Perilaku Pelaksana/</t>
    </r>
    <r>
      <rPr>
        <i/>
        <sz val="12"/>
        <color theme="1"/>
        <rFont val="Bookman Old Style"/>
        <family val="1"/>
      </rPr>
      <t>Web</t>
    </r>
    <r>
      <rPr>
        <sz val="12"/>
        <color theme="1"/>
        <rFont val="Bookman Old Style"/>
        <family val="1"/>
      </rPr>
      <t xml:space="preserve">
8. Kualitas Sarana dan prasarana
9. Penanganan Pengaduan, Saran dan Masukan</t>
    </r>
  </si>
  <si>
    <t>BIROKRASI YANG BERSIH DAN AKUNTABEL</t>
  </si>
  <si>
    <t>PELAYANAN PUBLIK YANG PRIMA</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</si>
  <si>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</si>
  <si>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</si>
  <si>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</si>
  <si>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</si>
  <si>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</si>
  <si>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</si>
  <si>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</si>
  <si>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</si>
  <si>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</si>
  <si>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</si>
  <si>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</si>
  <si>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</si>
  <si>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</si>
  <si>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</si>
  <si>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Pengelolaan Pengaduan</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</si>
  <si>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</si>
  <si>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</si>
  <si>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</si>
  <si>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a. Hasil survei kepuasan masyarakat dapat diakses secara  online (website, media sosial, dll) dan offline
b. Hasil survei kepuasan masyarakat hanya dapat diakses secara offline di tempat layanan
c. Hasil survei kepuasan masyarakat tidak dipublikasi</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</si>
  <si>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</si>
  <si>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</si>
  <si>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</si>
  <si>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Telah dilakukan perbaikan secara terus menerus</t>
  </si>
  <si>
    <t xml:space="preserve">a. Perbaikan dilakukan secara terus-menerus
b. Perbaikan dilakukan tidak secara terus menerus
c. Belum dilakukan perbaikan </t>
  </si>
  <si>
    <t>Mekanisme Pengendalian</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</si>
  <si>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</si>
  <si>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</si>
  <si>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Terdapat sistem informasi/mekanisme informasi kinerja</t>
  </si>
  <si>
    <t>TJAHJO KUMOLO</t>
  </si>
  <si>
    <t>Penyusunan Tim Kerja</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</si>
  <si>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</si>
  <si>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 xml:space="preserve"> Tingkat kesenjangan kompetensi pegawai yang ada dengan standar kompetensi yang ditetapkan untuk masing-masing jabatan</t>
  </si>
  <si>
    <t>Unit kerja telah melibatkan pimpinan secara langsung pada saat penyusunan perencanaan</t>
  </si>
  <si>
    <t>Unit kerja telah melibatkan secara langsung pimpinan saat penyusunan penetapan kinerja</t>
  </si>
  <si>
    <t>Unit kerja telah berupaya meningkatkan kapasitas SDM yang menangangi akuntabilitas kinerja</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</si>
  <si>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</si>
  <si>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 xml:space="preserve">Apakah terdapat penjenjangan kinerja ((Kerangka Logis Kinerja) yang mengacu pada kinerja utama  organisasi dan dijadikan dalam penentuan kinerja seluruh pegawai? </t>
  </si>
  <si>
    <t>pengaduan masyarakat dtindaklanjuti</t>
  </si>
  <si>
    <t>ya,pengaduan masyaakat ditindaklanjuti</t>
  </si>
  <si>
    <t>Penyampaian Laporan Harta Kekayaan Pejabat Negara (LHKPN)</t>
  </si>
  <si>
    <t>Persentase penyampaian LHKPN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</si>
  <si>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MenPANRB No. SE/03/M.PAN/01/2005</t>
  </si>
  <si>
    <t>Jumlah yang harus melaporkan</t>
  </si>
  <si>
    <t>- Lainnya</t>
  </si>
  <si>
    <t>Jumlah yang sudah melaporkan</t>
  </si>
  <si>
    <t>Persentase penyampaian LHKASN</t>
  </si>
  <si>
    <t>Penyampaian LHKASN diatur dalam:
1. Undang-Undang No. 28 Tahun 1999
2. Undang-Undang No. 30 Tahun 2002
3. Undang-Undang No. 10 Tahun 2015
4. SE MenPANRB No. 1 Tahun 2015</t>
  </si>
  <si>
    <t>Jumlah yang harus melaporkan (ASN tidak wajib LHKPN)</t>
  </si>
  <si>
    <t>- Jumlah Fungsional dan Pelaksana</t>
  </si>
  <si>
    <t>- Kepala satuan kerja</t>
  </si>
  <si>
    <t>- Pejabat yang diwajibkan menyampaikan LHKPN</t>
  </si>
  <si>
    <t>- Pejabat administrator (eselon III)</t>
  </si>
  <si>
    <t>- Pejabat Penawas (eselon IV)</t>
  </si>
  <si>
    <t>Penyampaian Laporan Harta Kekayaan</t>
  </si>
  <si>
    <t>telah melakukan publikasi atas standar pelayanan dan maklumat pelayanan</t>
  </si>
  <si>
    <t>ya,telah melakukan publikasi atas tandar pelayanan dan maklumat pelayanan</t>
  </si>
  <si>
    <t>Terdapat media pengaduan dan konsultasi pelayanan yang terintegrasi dengan SP4N-Lapor!</t>
  </si>
  <si>
    <t xml:space="preserve">c. </t>
  </si>
  <si>
    <t>Telah membangun database pelayanan yang terintegrasi</t>
  </si>
  <si>
    <t>Ya,jika tela membangun database pelayanan yang terintegrasi</t>
  </si>
  <si>
    <t>Upaya dan/atau inovasi pada perijinan/pelayanan telah dipermudah:
1. Waktu lebih cepat
2. Pelayanan Publik yang terpadu
3. Alur lebih pendek/singkat
4 Terintegrasi dengan aplikasi</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</si>
  <si>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</si>
  <si>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EVALUASI ZONA INTEGRITAS</t>
  </si>
  <si>
    <t>MENTERI PENDAYAGUNAAN APARATUR 
NEGARA DAN REFORMASI BIROKRASI
REPUBLIK INDONESIA,</t>
  </si>
  <si>
    <t xml:space="preserve">LAMPIRAN III
PERATURAN MENTERI PENDAYAGUNAAN APARATUR NEGARA DAN REFORMASI BIROKRASI NOMOR 90 TAHUN 2021
TENTANG
PEMBANGUNAN DAN EVALUASI PEMBANGUNAN ZONA INTEGRITAS MENUJU WILAYAH BEBAS DARI KORUPSI DAN WILAYAH BIROKRASI BERSIH DAN MELAYANI DI INSTANSI PEMERINTAH
</t>
  </si>
  <si>
    <t>ttd</t>
  </si>
  <si>
    <t>ya, jika terdapat sistem informasi/mekanisme informasi kinerja</t>
  </si>
  <si>
    <t>Pembentukan Tim Kerja di pilih melaui mekanisme dan prosedur yang jelas melalui penetapan SK pembentukan Tim Kerja ZI</t>
  </si>
  <si>
    <t>Terdapat Pembentukan Penunjukan Unit Kerja yang akan mengimplementasikan ZI melalui SK Kepala DInas
Terdapat Pembentukan Tim Kerja yang akan mengimplementasikan ZI melalui SK Kepala Puskesmas</t>
  </si>
  <si>
    <t>Unit Kerja Telah Memilki Rencana Kerja Pembangunan ZI</t>
  </si>
  <si>
    <t>Terdapat Target Prioritas didalam Penyusunan Rencana Kerja Pembangunan ZI</t>
  </si>
  <si>
    <t>Terdapat Media Informasi Pembangunan ZI yang Interaktif sebagai Media Informasi Kepada Pihak Lain</t>
  </si>
  <si>
    <t>Pembangunan ZI telah dilakukan sesuai dengan rencana seperti terdapat dalam form Rencana Aksi</t>
  </si>
  <si>
    <t>Evaluasi dan Monitoring ZI dilakukan secara berkala dan melibatkan Pimpinan</t>
  </si>
  <si>
    <t>Dilakukan Tindak Lanjut terhadap Hasil Monitoring dan Evaluasi</t>
  </si>
  <si>
    <t>Pimpinan Menjadi contoh (Role Model) dalam setiap kegiatan Puskesmas</t>
  </si>
  <si>
    <t xml:space="preserve">Telah ditetapkan Agen Perubahan didalam Puskesmas 
</t>
  </si>
  <si>
    <t>Budaya Kerja dan Pola Pikir Anti Gratifikasi telah diterapkan didalam Puskesmas</t>
  </si>
  <si>
    <t>Keterlibatan Seluruh Angota Didalam Pembangunan ZI</t>
  </si>
  <si>
    <t>Penetapan Agen Perubahan ditetapkan berdasarkan penempatan tiap-tiap profesi Seluruh SOP telah mengacu kepada Peta Proses Bisnis (PROBIS)</t>
  </si>
  <si>
    <t>Unit telah memiliki sistem pengukuran kinerja menggunakan teknologi informasi e-sakip</t>
  </si>
  <si>
    <t>Unit kerja memiliki operasionalisasi manajemen SDM menggunkan teknologi informasi berbasis Aplikasi SIMPEG</t>
  </si>
  <si>
    <t>Unit kerja telah memberikan pelayanan dengan menggunakan Teknologi Informasi</t>
  </si>
  <si>
    <t>Unit telah melaksanakan Monitoring dan Evaluasi terhadap pemanfaatan Teknologi Informasi yang diterapkan di Puskesmas</t>
  </si>
  <si>
    <t>Unit telah melakukan Monitoring dan Evaluasi terhadap pelaksanaan Kebijakan Keterbukaan Informasi Publik</t>
  </si>
  <si>
    <t>Terdapat Pejabat Informasi Publik (PPID) sebagai penyebar informasi yang dapat diakses publik</t>
  </si>
  <si>
    <t>Unit telah Implementasi SPBE yang terintegrasi dan mampu mendorong pelaksanaan pelayanan publik yang lebih cepat dan efisien</t>
  </si>
  <si>
    <t>Unit telah Implementasi SPBE yang terintegrasi dan mampu mendorong pelaksanaan pelayanan internal unit kerja yang lebih cepat dan efisien</t>
  </si>
  <si>
    <t>Unit kerja telah menyusun kebutuhan pegawai yang mengacu kepada peta jabatan dan hasil analisis bebam kerja</t>
  </si>
  <si>
    <t>Unit kerja telah menempatan pegawai hasil rekrutmen murni mengacu kepada kebutuhan pegawai yang telah disusun perjabatan</t>
  </si>
  <si>
    <t>Unit kerja sudah melakukan monitoring dan evaluasi terhadap penempatan pegawai hasil rekrutmen untuk memenuhi kebutuhan jabatan dalam organisasi</t>
  </si>
  <si>
    <t>Unit telah melakukan mutasi internal pegawai dengan tersistematis</t>
  </si>
  <si>
    <t>Unit kerja telah melaksanakan mutasi pegawai antar jabatan dengan memperhatikan kompetensi jabatan dan mengikuti pola mutasi yang telah ditetapkan organisasi</t>
  </si>
  <si>
    <t>Unit kerja telah melakukan monitoring dan evaluasi terhadap kegiatan mutasi yang dilakukan dalam kaitannya dengan perbaikan</t>
  </si>
  <si>
    <t>Unit Kerja Sudah melakukan Training Need Analysis</t>
  </si>
  <si>
    <t>Unit kerja telah melakukan rencana pengembangan kompetensi pegawai dengan mempertimbangkan hasil pengelolaan kinerja pegawai</t>
  </si>
  <si>
    <t>Kesenjangan kompetensi pegawai ditetapkan kurang dari 25%</t>
  </si>
  <si>
    <t>seluruh pegawai di Unit Kerja telah memperoleh kesempatan/hak untuk mengikuti diklat maupun pengembangan kompetensi lainnya</t>
  </si>
  <si>
    <t>Unit kerja telah melakukan upaya pengembangan kompetensi kepada seluruh pegawai</t>
  </si>
  <si>
    <t>Unit kerja telah melakukan monitoring dan evaluasi terhadap hasil pengembangan kompetensi dalam kaitannya dengan perbaikan kinerja telah dilakukan secara berkala</t>
  </si>
  <si>
    <t>Unit Kerja telah menetapan kinerja individu terkait dengan kinerja organisasi serta perjanjian kinerja selaras dengan sasaran kinerja pegawai (SKP)</t>
  </si>
  <si>
    <t>Kinerja individu telah memiliki kesesuaian dengan indikator kinerja individu level diatasnya serta menggambarkan logic model</t>
  </si>
  <si>
    <t>Pengukuran Kinerja Individu dilakukan secara bulanan didalam Lokakarya Bulanan (LOKBUL)</t>
  </si>
  <si>
    <t>hasil penilaian kinerja individu telah dijadikan dasar untuk pemberian reward</t>
  </si>
  <si>
    <t>Unit Kerja telah mengimplementasikan aturan disiplin dan kode etik</t>
  </si>
  <si>
    <t>Data informasi kepegawaian unit kerja dapat diakses oleh pegawai dan dimutakhirkan setiap ada perubahan data pegawai</t>
  </si>
  <si>
    <t>Pimpinan Selalu terlibat dalam seluruh tahapan perencanaan</t>
  </si>
  <si>
    <t>Pimpinan Selalu terlibat dalam penyusunan kinerja</t>
  </si>
  <si>
    <t>Pimpinan selalu terlibat dalam seluruh pemantauan pencapaian kinerja dan menindaklanjuti hasil pemantauan</t>
  </si>
  <si>
    <t>Unit kerja memiliki dokumen perencanaan kinerja lengkap</t>
  </si>
  <si>
    <t>perencanaan kinerja telah berorientasi hasil</t>
  </si>
  <si>
    <t>Unit Kerja Memiliki IKU</t>
  </si>
  <si>
    <t>Seluruh indikator kinerja telah SMART</t>
  </si>
  <si>
    <t>Unit kerja telah menyusun laporan kinerja tepat waktu</t>
  </si>
  <si>
    <t>seluruh pelaporan kinerja telah memberikan informasi tentang kinerja</t>
  </si>
  <si>
    <t>terdapat sistem informasi/mekanisme informasi kinerja</t>
  </si>
  <si>
    <t>seluruh SDM pengelola akuntabilitas kinerja kompeten</t>
  </si>
  <si>
    <t>1. Perencanaan Puskesmas
2. Tata Kelola Organisasi
3. Manajemen Sumber Daya
4.Manajemen Sanara, Alat dan Obat
5. Manajemen Keuangan</t>
  </si>
  <si>
    <t>1. Perencanaan Puskesmas
2. Manajemen Sarana, Alat dan Obat
3. manajemen Keuangan</t>
  </si>
  <si>
    <t>Unit Pengendalian Gratifikasi, pengendalian gratifikasi telah menjadi bagian dari prosedur</t>
  </si>
  <si>
    <t>unit kerja membangun seluruh lingkungan pengendalian sesuai dengan yang ditetapkan organisasi dan juga membuat inovasi terkait lingkungan pengendalian yang sesuai dengan karakteristik unit kerja</t>
  </si>
  <si>
    <t>unit kerja melakukan penilaian risiko atas seluruh pelaksanaan kebijakan sesuai dengan yang ditetapkan organisasi dan juga membuat inovasi terkait lingkungan pengendalian yang sesuai dengan karakteristik unit kerja</t>
  </si>
  <si>
    <t>unit kerja melakukan kegiatan pengendalian untuk meminimalisir resiko sesuai dengan yang ditetapkan organisasi dan juga membuat inovasi terkait kegiatan pengendalian untuk meminimalisir resiko yang sesuai dengan karakteristik unit kerja</t>
  </si>
  <si>
    <t>unit kerja mengimplementasikan seluruh kebijakan pengaduan masyarakat sesuai dengan yang ditetapkan organisasi dan juga membuat inovasi terkait pengaduan masyarakat yang sesuai dengan karakteristik unit kerja</t>
  </si>
  <si>
    <t>pengaduan masyarakat ditindaklanjuti</t>
  </si>
  <si>
    <t>penanganan pengaduan masyarakat dimonitoring dan evaluasi secara berkala</t>
  </si>
  <si>
    <t>seluruh hasil evaluasi atas penanganan pengaduan telah ditindaklanjuti oleh unit kerja</t>
  </si>
  <si>
    <t>unit kerja menerapkan seluruh kebijakan Whistle Blowing System sesuai dengan yang ditetapkan organisasi</t>
  </si>
  <si>
    <t>penerapan Whistle Blowing System dimonitoring dan evaluasi secara berkala</t>
  </si>
  <si>
    <t>seluruh hasil evaluasi atas penerapan Whistle Blowing System telah ditindaklanjuti oleh unit kerja</t>
  </si>
  <si>
    <t>sudah terdapat  identifikasi/pemetaan benturan kepentingan tetapi pada seluruh tugas fungsi utama</t>
  </si>
  <si>
    <t>penanganan Benturan Kepentingan disosialiasikan/diinternalisasikan ke seluruh layanan</t>
  </si>
  <si>
    <t>penanganan Benturan Kepentingan diimplementasikan ke seluruh layanan</t>
  </si>
  <si>
    <t>penanganan Benturan Kepentingan dievaluasi secara berkala oleh unit kerja</t>
  </si>
  <si>
    <t>seluruh hasil evaluasi atas Penanganan Benturan Kepentingan telah ditindaklanjuti oleh unit kerja</t>
  </si>
  <si>
    <t>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t>
  </si>
  <si>
    <t>Terdapat 6 pengaduan masyarakat yang sudah ditindaklanjuti</t>
  </si>
  <si>
    <t>Tidak ada pengaduan</t>
  </si>
  <si>
    <t>Terdapat penetapan Standar Pelayanan terhadap seluruh jenis pelayanan, dan sesuai asas serta komponen standar pelayanan publik yang berlaku</t>
  </si>
  <si>
    <t>Standar pelayanan telah dimaklumatkan pada seluruh jenis pelayanan dan dipublikasikan di website dan media lainnya</t>
  </si>
  <si>
    <t>Dilakukan reviu dan perbaikan atas standar pelayanan dan dilakukan dengan melibatkan stakeholders</t>
  </si>
  <si>
    <t>Telah dilakukan pelatihan/sosialisasi pelayanan prima secara berkelanjutan dan terjadwal, sehingga seluruh petugas/pelaksana layanan memiliki kompetensi sesuai kebutuhan jenis layanan</t>
  </si>
  <si>
    <t>Seluruh Informasi tentang pelayanan dapat diakses secara online (website/media sosial) dan terhubung dengan sistem informasi pelayanan publik</t>
  </si>
  <si>
    <t>terdapat kebijakan pemberian penghargaan dan sanksi yang minimal memenuhi unsur penilaian</t>
  </si>
  <si>
    <t>telah terdapat sistem pemberian kompensasi bila layanan tidak sesuai standar bagi penerima layanan di seluruh jenis layanan</t>
  </si>
  <si>
    <t>seluruh pelayanan sudah dilakukan secara terpadu/terintegrasI dan satu pintu</t>
  </si>
  <si>
    <t>unit kerja telah memiliki inovasi pelayanan</t>
  </si>
  <si>
    <t>Terdapat media konsultasi dan pengaduan secara offline dan online</t>
  </si>
  <si>
    <t>Terdapat unit pengelola khusus untuk konsultasi dan pengaduan</t>
  </si>
  <si>
    <t>Evaluasi atas penanganan keluhan/masukan dan konsultasi dilakukan secara berkala</t>
  </si>
  <si>
    <t>Survei kepuasan masyarakat terhadap pelayanan dilakukan minimal 2 kali dalam setahun</t>
  </si>
  <si>
    <t>Hasil survei kepuasan masyarakat dapat diakses secara  online (website, media sosial, dll) dan offline</t>
  </si>
  <si>
    <t>dilakukan tindak lanjut atas seluruh hasil survey kepuasan masyarakat</t>
  </si>
  <si>
    <t>Terdapat pelayanan yang menggunakan teknologi informasi pada seluruh proses pemberian layanan</t>
  </si>
  <si>
    <t>Perbaikan dilakukan secara terus-menerus</t>
  </si>
  <si>
    <t>telah membangun database pelayanan yang terintegrasi</t>
  </si>
  <si>
    <t xml:space="preserve"> 1.  Pos Gizi                                               (Syafira Sastia Ramadhan)
2. Aplikasi BYE TBC                                
(dr. M. Adriansyah)
3. Gebyar IVA Test                                 
(dr. M. Adriansyah)
4. Aplikasi DIGODA                               
(Maryam)
5. Aplikasi DESAH                                  
(Tuti Kristatni)
6. Pemeriksaan Kesehatan                 
(Tuti Kristatni)
7. Klinik Lasenja                                     
(Andi Fauzi)</t>
  </si>
  <si>
    <t>1. Syafira Sastia Ramadhan
2. dr. M. Adriansyah
3. dr. M. Adriansyah
4. Maryam
5. Tuti Kristatni
6. Tuti Kristatni
7. Andi Fauzi</t>
  </si>
  <si>
    <t>Seluruh SOP telah mengacu kepada Peta Proses Bisnis (PROBIS)</t>
  </si>
  <si>
    <t>Terdapat Manfaat/dampak dari tranformasi digital terhadap Proses Bisnis</t>
  </si>
  <si>
    <t>Transformasi Digital Manfaat Pada Bidang Administrasi Pemerintahan</t>
  </si>
  <si>
    <t>Tranformasi Digital Pada Pelayanan Publik memberikan dampak yang positif terhadap pelayanan</t>
  </si>
  <si>
    <t>Seluruh ukuran kinerja individu telah berorientasi hasil (outcome) sesuai pada levelnya</t>
  </si>
  <si>
    <t>Hasil Assesment dijadikan dasar mutasi internal pegawai</t>
  </si>
  <si>
    <t xml:space="preserve">Tidak Ada Pelanggaran Disiplin </t>
  </si>
  <si>
    <t>Tidak Ada Pelanggaran Disiplin dan Sanksi</t>
  </si>
  <si>
    <t>capaian kinerja (Perjanjian Kinerja) merupakan unsur dalam pemberian reward and punishment</t>
  </si>
  <si>
    <t>terdapat Kerangka Logis kinerja yang mengacu pada kinerja utama organisasi  dan digunakan dalam penjabaran kinerja seluruh pegawai</t>
  </si>
  <si>
    <t>Kepala Puskesmas</t>
  </si>
  <si>
    <t>13 orang ASN sudah melaporkan LHKASN</t>
  </si>
  <si>
    <t>13 orang pegawai</t>
  </si>
  <si>
    <t xml:space="preserve">Tidak ada pejabat eselon III </t>
  </si>
  <si>
    <t>1 orang pejabat eselon IV</t>
  </si>
  <si>
    <t>Upaya dan/atau inovasi yang dilakukan telah mendorong perbaikan seluruh pelayanan publik yang prima (lebih Cepat dan mudah)</t>
  </si>
  <si>
    <t>Pengaduan pelayanan  dan konsultasi telah direspon dengan cepat melalui berbagai kanal/media</t>
  </si>
  <si>
    <t>Pencapaian Nilai Survei Persepsi Anti Korupsi 4 (100%)</t>
  </si>
  <si>
    <t>Target kinerja utama tercapai lebih dari 100 persen dan lebih baik dari capaian kinerja utama tahun sebelumnya</t>
  </si>
  <si>
    <t>Nilai Pencapaian Kepuasan IKM = 87,65%</t>
  </si>
  <si>
    <t xml:space="preserve"> public campaign telah dilakukan </t>
  </si>
  <si>
    <t>1.  Pos Gizi                                               (Syafira Sastia Ramadhan)
2. Aplikasi BYE TBC                                
(dr. M. Adriansyah)
3. Gebyar IVA Test                                 
(dr. M. Adriansyah)
4. Inovasi DIGODA                               
(Maryam)
5. Inovasi DESAH                                  
(Tuti Kristatni)
6. Pemeriksaan Kesehatan                 
(Tuti Kristatni)
7. Klinik Lasenja                                     
(Andi Fauzi)</t>
  </si>
  <si>
    <t>12 orang ASN sudah melaporkan LHKASN</t>
  </si>
  <si>
    <t>12 orang fungsi pelaksana</t>
  </si>
  <si>
    <t xml:space="preserve">1. Aplikasi Bye TBC               
(dr. M. Adriansyah)
</t>
  </si>
  <si>
    <t>Terdapat Target Prioritas didalam dokumen perencanaan dan sudah diatas 80%</t>
  </si>
  <si>
    <t xml:space="preserve"> Budaya Kerja dan Pola Pikir Anti Korupsi dan Gratifikasi Telah di Internalisasi Kepada Seluruh Anggota</t>
  </si>
  <si>
    <t>https://drive.google.com/file/d/1Zu-e_vh46AKarvxKlJ3RqrRToPQ-O5wn/view?usp=sharing</t>
  </si>
  <si>
    <t>https://drive.google.com/file/d/1rfKgFcJHrRQXH--LbX9d76e1n64DqpMv/view?usp=sharing</t>
  </si>
  <si>
    <t>https://drive.google.com/file/d/1XFEXf_miQybAk81F5Q4s1VZFZI8XLXZP/view?usp=sharing</t>
  </si>
  <si>
    <t>https://drive.google.com/file/d/1u0W3JQMH1rbDidqXTcnUh6PmUt6O8I67/view?usp=sharing</t>
  </si>
  <si>
    <t>https://drive.google.com/file/d/1rarGzXFQdppWzuOedfSRRQtixI5gmCP5/view?usp=sharing</t>
  </si>
  <si>
    <t>https://drive.google.com/file/d/1ChQj4wEmXBx0MOc-64CGaWnGMKlS8fUi/view?usp=sharing</t>
  </si>
  <si>
    <t>https://drive.google.com/file/d/1lyTuht7JfN448Dm-tTLuxruZ3TgDPTW_/view?usp=sharing</t>
  </si>
  <si>
    <t>https://drive.google.com/file/d/1_XgHk3SYmn589KU05ziQao-A8AS0Mbh4/view?usp=sharing</t>
  </si>
  <si>
    <t>https://drive.google.com/file/d/1kxGDMd8zJAng01yg3oZEYTNnNILcQlKJ/view?usp=sharing</t>
  </si>
  <si>
    <t>https://drive.google.com/file/d/1YznB2F4uIeyonidOjfGC4UOXrMAN8EKI/view?usp=sharing</t>
  </si>
  <si>
    <t>https://drive.google.com/file/d/1jYeDPTVe1pAal1uGdxC_HArLnNHVBqkl/view?usp=sharing</t>
  </si>
  <si>
    <t>https://drive.google.com/file/d/1iAh9zIXBI_Xx1OGrj3uxZsGYmEpD2Fbk/view?usp=sharing</t>
  </si>
  <si>
    <t>https://drive.google.com/file/d/1limA4IEf3WiiwGO8RW03iC-kmDExpEwK/view?usp=sharing</t>
  </si>
  <si>
    <t>https://drive.google.com/file/d/1KFIWvj_Q98G_OCTQTQS8-e3R_U4HAJtH/view?usp=sharing</t>
  </si>
  <si>
    <t>https://drive.google.com/file/d/1o1sioaKwA_WddWma1Lyl9DVnHX9kCcWF/view?usp=sharing</t>
  </si>
  <si>
    <t>https://drive.google.com/file/d/1UmJ3f5Y6G02YEe300UWoR9z3UkNckT3B/view?usp=sharing</t>
  </si>
  <si>
    <t>https://drive.google.com/file/d/1FOzzNYiuTELqa1JvnvqBt3rmWVyUc-lY/view?usp=sharing</t>
  </si>
  <si>
    <t>https://drive.google.com/file/d/1Hzqruc6WfaZHwmpUXn6C5zXx4X8TFZ5E/view?usp=sharing</t>
  </si>
  <si>
    <t>https://drive.google.com/file/d/1ZRBkGXB7iMvgm4F0mM2W7rsG_d2H1hqa/view?usp=sharing</t>
  </si>
  <si>
    <t>https://drive.google.com/file/d/1VFyDF1vDqMfnQh2hgNnPDVA97nghuNAE/view?usp=sharing</t>
  </si>
  <si>
    <t>https://drive.google.com/file/d/1Mf8A0Je2TNlKqf4yWbHmvGIGo4joxGwG/view?usp=sharing</t>
  </si>
  <si>
    <t>https://drive.google.com/file/d/1_hJpMIwXoZwV8Y_7tGamuNnVdExy1UUa/view?usp=sharing</t>
  </si>
  <si>
    <t>https://drive.google.com/file/d/1QCMJhFh6Sshu6mW-JAJTNfNhkjEs96LW/view?usp=sharing</t>
  </si>
  <si>
    <t>https://drive.google.com/file/d/1pXcuM0nBvBXDwbemQXCpyWVgyivAS39V/view?usp=sharing</t>
  </si>
  <si>
    <t>https://drive.google.com/file/d/1czZp2Z5zgxcev4BzpsGL7-VlliwvOsth/view?usp=sharing</t>
  </si>
  <si>
    <t>https://drive.google.com/file/d/1oq4saTKwFHy9I5nt0VDYQ6KmlYxFg6YS/view?usp=sharing</t>
  </si>
  <si>
    <t>https://drive.google.com/file/d/1vLnioOlj0mM9dwdmqkBCpJ8c-FR7MISb/view?usp=sharing</t>
  </si>
  <si>
    <t>https://drive.google.com/file/d/1iU_0gcqxjirCDV9Cq2coMZkpKvnA6UK6/view?usp=sharing</t>
  </si>
  <si>
    <t>https://drive.google.com/file/d/1UV6RleEI2xscLpdlJWoRaV8qkm-dYFqt/view?usp=sharing</t>
  </si>
  <si>
    <t>https://drive.google.com/file/d/1XiI6swq130SYBOnfNPQvTKZ1bR9akk3_/view?usp=sharing</t>
  </si>
  <si>
    <t>https://drive.google.com/file/d/11WybU7FiQdBm-8X25BzfVjma1Rdd5uOT/view?usp=sharing</t>
  </si>
  <si>
    <t>https://drive.google.com/file/d/1Csyzd08lB3YoMq__g3GqP5I36ZoV4WSu/view?usp=sharing</t>
  </si>
  <si>
    <t>https://drive.google.com/file/d/1ZRfe52H01bXeh_e9NmHlt6ec_g3M734V/view?usp=sharing</t>
  </si>
  <si>
    <t>https://drive.google.com/file/d/1Zi67ZOi-m9BZSv_ptBa4JR4YUuIYJBDa/view?usp=sharing</t>
  </si>
  <si>
    <t>https://drive.google.com/file/d/1XUd9Tr3rKxpyfJZLISjibA42lOgEDDYl/view?usp=sharing</t>
  </si>
  <si>
    <t>https://drive.google.com/file/d/1GAeKeCFISirhGW9P5kpXcwdkiyG8mSYm/view?usp=sharing</t>
  </si>
  <si>
    <t>https://drive.google.com/file/d/1LuHf1lje915ecj274Q7Qcy1YZUM_iF8j/view?usp=sharing</t>
  </si>
  <si>
    <t>https://drive.google.com/file/d/1hIIE-s9u_B__mt3TnDtcqyahF6ETaqOm/view?usp=sharing</t>
  </si>
  <si>
    <t>https://drive.google.com/file/d/1lL0Ksw7x9FBY3CZq5121NcI3Kg5LPQmr/view?usp=sharing</t>
  </si>
  <si>
    <t>https://drive.google.com/file/d/1Ss0mztQVhp0S04kzQYsMJbVweUTZfDEH/view?usp=sharing</t>
  </si>
  <si>
    <t>https://drive.google.com/file/d/1qmqTdSGv9O2KEQl30K2W6WYz7vmXAVyg/view?usp=sharing</t>
  </si>
  <si>
    <t>https://drive.google.com/file/d/1O54ziv9ZC7p8A28BFMzgwV9LS6OeXzjP/view?usp=sharing</t>
  </si>
  <si>
    <t>https://drive.google.com/file/d/1Sg_qloH9x-iAg0cYrIGpyoHGF61JNTf0/view?usp=sharing</t>
  </si>
  <si>
    <t>https://drive.google.com/file/d/1VkPbOPrs1VbXza7SdOMjR-RvNiZjilkI/view?usp=sharing</t>
  </si>
  <si>
    <t>https://drive.google.com/file/d/1MTTQLASbBGlRxRODQq1Epsvkxc2vEfAc/view?usp=sharing</t>
  </si>
  <si>
    <t>https://drive.google.com/file/d/1afArLZx5baHp1Gtaeivu6Czhg_NV8vgP/view?usp=sharing</t>
  </si>
  <si>
    <t>https://drive.google.com/file/d/13Z1BTcAACW-iGmVgXVXi-i8WRyO_YgD9/view?usp=sharing</t>
  </si>
  <si>
    <t>https://drive.google.com/file/d/1ZXT-aEtgZ-NFCSEoShCQL168KCrqNVjt/view?usp=sharing</t>
  </si>
  <si>
    <t>https://drive.google.com/file/d/14OsMZ_RKfAAZkmwaxPaI_Hv5D2V4eqeu/view?usp=sharing</t>
  </si>
  <si>
    <t>https://drive.google.com/file/d/19T-_vQ2pf9uChHlzK5TgiDdD-htM9IVU/view?usp=sharing</t>
  </si>
  <si>
    <t>https://drive.google.com/file/d/1-7Ofx2yEs4VZm4cYXg6JuV7IZlKuaFav/view?usp=sharing</t>
  </si>
  <si>
    <t>https://drive.google.com/file/d/1zHtF8hmMtyHypzS58NY4t5uIGHqWCAm2/view?usp=sharing</t>
  </si>
  <si>
    <t>https://drive.google.com/file/d/1iejEAeB4E7ZdpiNfyOdlTchd0yqDTjOI/view?usp=sharing</t>
  </si>
  <si>
    <t>https://drive.google.com/file/d/1SCIHAoeKAP2GICc6uVTg_HipgKnuMM4U/view?usp=sharing</t>
  </si>
  <si>
    <t>https://drive.google.com/file/d/1sfv05Gp89us1h43XiG5JkQYGTBaXFVwq/view?usp=sharing</t>
  </si>
  <si>
    <t>https://drive.google.com/file/d/1HgWUPMunzFL335v2ZclgJbn0k4ZYHIPu/view?usp=sharing</t>
  </si>
  <si>
    <t>https://drive.google.com/file/d/1kiKwEjK5UQP01xnSNOF5vGKGvl4vBUhB/view?usp=sharing</t>
  </si>
  <si>
    <t>https://drive.google.com/file/d/1omnG2oCSUxHTmbuqni3NP5nQ3QBYK2K_/view?usp=sharing</t>
  </si>
  <si>
    <t>https://drive.google.com/file/d/1HLDMh-7I0LHmZZ2WRi__oSrFuIzObJaN/view?usp=sharing</t>
  </si>
  <si>
    <t>https://drive.google.com/file/d/1TwFqoqSayFNuY4o1iMZBDMTM9ncdiDxF/view?usp=sharing</t>
  </si>
  <si>
    <t>https://drive.google.com/file/d/1o5gJ4Gu4xzNNlaMdf1TOyyMUYPXUjk1o/view?usp=sharing</t>
  </si>
  <si>
    <t>https://drive.google.com/file/d/1_4OGKoPrUi5Laj1hWhAXY4v0VOpet3ti/view?usp=sharing</t>
  </si>
  <si>
    <t>https://drive.google.com/file/d/1HekPn9Wp1yGyH52MthBnjRXJ5G8rrjjk/view?usp=sharing</t>
  </si>
  <si>
    <t>https://drive.google.com/file/d/1_kyluQji286ZMeB50QQ2O3HhgiMkVldR/view?usp=sharing</t>
  </si>
  <si>
    <t>https://drive.google.com/file/d/1XhGimsMS4SfVNhkVOJq1WQEtDNvLszfa/view?usp=sharing</t>
  </si>
  <si>
    <t>https://drive.google.com/file/d/1LSnr5dM2kLdTAbxSdUP0cm0Nd_m8LJYW/view?usp=sharing</t>
  </si>
  <si>
    <t xml:space="preserve">https://drive.google.com/file/d/1Fu69qS-atzRyolutwy3Z1mDgdbd4KJr-/view?usp=sharing </t>
  </si>
  <si>
    <t>https://drive.google.com/file/d/1Pk9lyRM2lsnffDQQePOG1QvoRlPGhRS3/view?usp=sharing</t>
  </si>
  <si>
    <t>https://drive.google.com/file/d/1IUCd84R6YdIqlaY5sc0tj8-c_TuhpV1V/view?usp=sharing</t>
  </si>
  <si>
    <t>https://drive.google.com/file/d/1g4nD6Quu5blCRYwS6lrONVLgdqK-swcO/view?usp=sharing</t>
  </si>
  <si>
    <t xml:space="preserve">https://drive.google.com/file/d/1Q5DaCH36SDy-Y94LWhCaHuiFz56_QZms/view?usp=sharing </t>
  </si>
  <si>
    <t>https://drive.google.com/file/d/10CtYpbOd_mBDrnhjHzua2tYiCse9la-t/view?usp=sharing</t>
  </si>
  <si>
    <t>https://drive.google.com/file/d/10GTgwV_RZgYJuOHrJ-ThFUNENC2_JO1s/view?usp=sharing</t>
  </si>
  <si>
    <t>https://drive.google.com/file/d/193_3HPVL7unEsvcgIllrsNCqd7xTAmOz/view?usp=sharing</t>
  </si>
  <si>
    <t>https://drive.google.com/file/d/1oaKASL3ephvCVaaU-OJcmrI2jsPyvU96/view?usp=sharing</t>
  </si>
  <si>
    <t>https://drive.google.com/file/d/1pn_gbpTvW0EG-HgPJZQgga7I0Cz9wUYR/view?usp=sharing</t>
  </si>
  <si>
    <t xml:space="preserve">https://drive.google.com/file/d/1DWCCZzPOlvAvyKA8pS9Rmt7pOoQ2MG2b/view?usp=sharing </t>
  </si>
  <si>
    <t>https://drive.google.com/file/d/1YJk6v_MM-daEfPZZGiUOEVP8vXCnxl8h/view?usp=sharing</t>
  </si>
  <si>
    <t>https://drive.google.com/file/d/1VmX2d7HMXFkxcsXsTmdrEk9nO4Ot1yA0/view?usp=sharing</t>
  </si>
  <si>
    <t>https://drive.google.com/file/d/1_954RTtxQgZNOQDE3fyCOqkuKerIAr9y/view?usp=sharing</t>
  </si>
  <si>
    <t>https://drive.google.com/file/d/1iDAubPQFRbj6GsJ2I1cw1-hgeVxLfdaU/view?usp=sharing</t>
  </si>
  <si>
    <t>https://drive.google.com/file/d/1Wjwc63AVyuj-8jSC6I64dXwPeQQMUTbB/view?usp=sharing</t>
  </si>
  <si>
    <t>https://drive.google.com/file/d/1qgeTUfft4mvMVwzNUx2TqB6pE2Lbd40a/view?usp=sharing</t>
  </si>
  <si>
    <t>https://drive.google.com/file/d/1js6PzFyXO42x_pOxfLRQKp0gx5mpuawW/view?usp=sharing</t>
  </si>
  <si>
    <t>https://drive.google.com/file/d/1l5WBcXfcURsADlL3JwVRi60u8E9x3FJM/view?usp=sharing</t>
  </si>
  <si>
    <t>2. Dokumen Kegiatan Rapat Penyusunan Target Prioritas Pembangunan ZI (6 area)
a. Undangan
b. Daftar Hadir
c. Notulensi dan Dokumentasi
d. Laporan Kegiatan
e. Dokumen Renaksi yang memuat Target Prioritas</t>
  </si>
  <si>
    <t>Dokumen Kegiatan Monev Pembangunan ZI:
a. Undangan
b. Daftar Hadir (Melibatkan Pimpinan)
c. Notulensi dan Dokumentasi (Melibatkan Pimpinan)
d. Laporan Monev Berkala (Bulanan/Triwulanan/Semesteran)</t>
  </si>
  <si>
    <t>xxx xxxx xxxx xxxx</t>
  </si>
  <si>
    <t>1. Dokumen Pelaksanaan Pembangunan Budaya Kerja &amp; Pola Pikir:
a. Dalam bentuk pelatihan, bimbingan teknis, worksop, Pelatihan Kantor Sendiri, Sosialisasi, dll sejenis.
- Undangan
- Daftar Hadir
- Notulensi dan dokumentasi
- Laporan Pelaksanaan
b. Surat Edaran Ka PD &amp; Media Imbauan
2. Mekanisme Reward &amp; Punishment
- SOP
- Bukti Penghargaan
- Bukti Pemberian Sanksi.
3. Laporan Pemetaatb Tingkat Keterlibatan dan Resistensi Pembangunan ZI.</t>
  </si>
  <si>
    <t>Laporan Monitoring Penerapan SOP &amp; Inovasi Layanan</t>
  </si>
  <si>
    <t>Laporan / Penjelasan IT / Aplikasi / Web Site terkait Pelayanan Publik</t>
  </si>
  <si>
    <t>Laporan Monitoring Pemanfaatan TI Dalam Pemberian Layanan Publik, meliputi:
1. Pengukuran Kinerja Unit
2. Operasionalisasi SDM
3. Pemberian Layanan Kepada Publik
Apabila dalam bentuk rapat:
1. Surat Undangan Monev
2. Daftar Hadir
3. Dokumentasi
4. Notulensi yang memuat monev atas Pemanfaatan TI (Pengukuran Kinerja Unit, Operasionalisasi SDM, Pemberian Layanan Kepada Publik
Monev dilakukan secara berkala semesteran / triwulanan / bulanan.</t>
  </si>
  <si>
    <t>1. Perwal/SOP terkait Keterbukaan Informasi Publik
2. SK PPID Kota
3. SK Tim Pengelola Layanan Informasi &amp; Dokumentasi
4. Screen shoot informasi yang disebarkan (web, medsos, dll)</t>
  </si>
  <si>
    <t>1. Pelaksanaan Monev atas Kebijakan Keterbukaan Informasi Publik:
a. Laporan Monev Bulanan/Triwulanan
b. Surat Undangan Kegiatan Monev.
c. Daftar Hadir.
d. Dokumentasi.
e. Notulensi
2. Tindak Lanjut atas Rekomendasi Monev</t>
  </si>
  <si>
    <t>1. Peta Jabatan
2. Analisa Beban Kerja
3. Bezetting
4. Proyeksi Kebutuhan Pegawai</t>
  </si>
  <si>
    <t>1.Laporan Penempatan Pegawai, yang memuat:
a. Jumlah Kebutuhan Pegawai
b. Spesifikasi Kebutuhan Pegawai
c. Hasil Penerimaan Pegawai
d. Penjelasan Penempatan Pegawai Hasil Rektrutmen
e. Analisa kesesuaian penempatan dengan kebutuhan
2. SK Penempatan Pegawai
3. Pengumuman Penerimaan Pegawai Hasil Rekrutmen</t>
  </si>
  <si>
    <t>1. Laporan Monev atas Penempatan Pegawai Hasil Rekrutmen
2. Bukti Perbaikan Kinerja atas Rektrutmen Pegawai.</t>
  </si>
  <si>
    <t>1. Peraturan Mutasi (Perwal, SOP, SE, Kebijakan Internal)
2. SK Mutasi Pegawai internal secara berkala
3. Usulan Promosi pegawai.</t>
  </si>
  <si>
    <t>1. Laporan Pelaksanaan Mutasi Pegawai, yang memuat:
a. Kompetensi pegawai
b. Kompetensi jabatan
c. Persentase kesesuakan kompetensi pegawasi dengan kompetensi jabatan.
2. Tindak lanjut atas rekomendasi laporan pelaksanaan mutasi pegawai.</t>
  </si>
  <si>
    <t>1. Laporan TNA
2. Screen Shoot SIMAPK (BKPSDM), yang menujukkan bahwa unit telah menginput kebutuhan Bangkom Pegawai
3. Perwal 74 Th 2023</t>
  </si>
  <si>
    <t>1. Ren Bangkom unit kerja/OPD
2. Standar Kompetensi Jabatan OPD
3. Penilaian Kinerja Pegawai</t>
  </si>
  <si>
    <t>Laporan Analisis Kesenjangan Kompetensi Pegawai dengan Stankom, yang memuat JPM &amp; Gap</t>
  </si>
  <si>
    <t>1. Laporan Bankom yang memuat:
a. Kebutuhan Diklat (Struktural, Jabfung, Teknis)
b. Gap Kompetensi dengan Kebutuhan Bangkom
2. Surat Usulan Bangkom
3. DPA Terkait Bangkom</t>
  </si>
  <si>
    <t>1. Bukti Bangkom yang telah dilaksanakan:
a. Surat Usulan
b. ST Bangkom
c. Laporan Diklat dari peserta
d. Sertifikat.
2. Kunker / Studi Banding (ST, Dokumentasi, Laporan)</t>
  </si>
  <si>
    <t>1. Laporan Monev Pelaksanaan Bangkom
2. Tindak Lanjut atas Rekomendasi Monev</t>
  </si>
  <si>
    <t>1. PK &amp; Rencana Aksi semua Jenjang
2. IKI semua jenjang
3. SKP semua pegawai</t>
  </si>
  <si>
    <t>Pohon kinerja</t>
  </si>
  <si>
    <t>1. SKP EKIN BKN Tahun
2. SKP EKIN BKN Triwulan
3. Laporan Kinerja Lasik Perbulan</t>
  </si>
  <si>
    <t>1. Kebijakan Pemberian Reward
2. SK Tim Penilaian Pemberian Reward
3. SK Pegawai Terbaik
4. Sertifikat Pegawai Terbaik
5. Dokumentasi kegiatan peemberian (Surat Undangan, Daftar Hadir, Dokmentasi)</t>
  </si>
  <si>
    <t>1. Kebijakan Aturan Disiplin Tingkat Kota, Internal OPD
2. Kebijakan Kode Etik/Perilaku Tingkat Kota, Internal OPD
3. Laporan Pelaksanaan aturan disiplin/kode etik/kode perilaku
4. Bukti Inovasi terkait implementasi aturan disiplin/kode etik/kode perilaku</t>
  </si>
  <si>
    <t>1. SE Pemutahiran Data Info Kepegawaian
2. Screenshot SIMPEG</t>
  </si>
  <si>
    <t>1. Dokumen Renja Pembangunan ZI Tahunan.
2. Dokumen Kegiatan Rapat Penyusunan Rencana Aksi
a. Undangan
b. Dafar Hadir
c. Notulensi dan Dokumentasi
d. Laporan Kegiatan
e. Dokumen Renaksi
3. Dokumen Kegiatan Rapat Penetapan Rencana Kerja
a. Undangan
b. Daftar Hadir
c. Notulensi dan Dokumentasi
d. Laporan Kegiatan
e. Dokumen Rencana Kerja Pembangunan ZI menujuk WBK/WBBM yang ditandatangani Kepala PD melalui SK.</t>
  </si>
  <si>
    <t>1. SOP Mekanisme Sosialisasi Pembangunan ZI
2. Bukti Sosialisasi Pembangunan ZI
a. Bentuk Kegiatan Sosialisasi
1) Sosialisasi Internal Berkala
- Undangan
- Daftar Hadir
- Notulensi dan dokumentasi
- Laporan Kegiatan
- Bulanan / Triwulanan / Semesteran
2) Sosialisasi Stakeholder Berkala
- Undangan
- Daftar Hadir
- Notulensi dan dokumentasi
- Laporan Kegiatan
- Bulanan / Triwulanan / Semesteran
3) Banner, Spanduk, dll sejenis
Sosiliasi melalui virtual : Undangan, absensi onlline (google form), link room zoom, screen shoot zoom peserta.
b. Media Sosial
Screen shoot</t>
  </si>
  <si>
    <t>SK Kepala OPD Ttg Tim Kerja Pembangunan (1 Tahun)
Tim Satgas (melibatkan semua):
Penanggung Jawab
Ketua
Anggota</t>
  </si>
  <si>
    <t>Laporan Monev Berkala Pelaksanaan Pembangunan ZI oleh Tim Internal (Bulanan/Triwulanan/Semesteran)
Jika realisasi 100% : a
Jika realisasi &gt;75% s.d. &lt;100% : b
Jika realisasi &lt;=75% : c</t>
  </si>
  <si>
    <t>Dokumen Kegiatan Tindak Lanjut atas Persiapan &amp; Hasil Monev Pembangunan ZI oleh Tim Internal:
a. Undangan
b. Daftar Hadir
c. Notulensi dan Dokumentasi
d. Laporan Monev Berkala (Bulanan/Triwulanan/Semesteran)
Rapat Pembahasan Tindak Lanjut dilaksanakan bersamaan dengan rapat pembahasan Monev dan rapat Persiapan.
Jika Tindak Lanjut 100% : a
Jika realisasi &gt;75% s.d. &lt;100% : b
Jika realisasi &gt;50% &lt;=75% : c
Jika tindak lanjut NIHIL : d</t>
  </si>
  <si>
    <t>1. SK Kepala OPD Ttg Agen Perubahan
2. SOP Mekanisme Pemilihan Agen Perubahan
3. Dokumen Pelaksanaan Kegiatan Penetapan Agen Perubahan:
a. Undangan
b. Daftar Hadir.
c. Notulensi dan dokumentasi.
d. Laporan Pelaknsanaan Pemilihan Agen Perubahan
e. Riwayat Hidup &amp; Rekam Jejak Agen Perubahan
f. Prestasi / Kontribusi Agen Perubahan dalam Pembangunan ZI (dokumen bukti)</t>
  </si>
  <si>
    <t>1. Penandatangan Komitmen Pembangunan ZI oleh seluruh pegawai.
2. Penandatanganan Pakta Integritas.
3. Laporan keterlibatan pegawai dalam Pembangunan ZI (salah satunya memuat usulan-usulan tim ZI yang diakomodir dalam Renja ZI.
Jika Terlibat 100% : a
Jika Terlibat &gt;75% s.d. &lt;100% : b
Jika Terlibat &gt;50% &lt;=75% : c
Jika Terlibat NIHIL : d</t>
  </si>
  <si>
    <t>1. Proses Bisnis PD
2. Rekapitulasi SOP AP
3. Laporan Inovasi Layanan (SOP)</t>
  </si>
  <si>
    <t>Laporan Evaluasi Penerapan SOP &amp; Inovasi Layanan
Laporan Tindak Lanjut Perbaikan SOP atau Usulan Perbaikan SOP</t>
  </si>
  <si>
    <t>SOP Utama telah dievaluasi dan telah ditindaklanjutu secara berkala termasuk pada saat proses Audit Internal</t>
  </si>
  <si>
    <t xml:space="preserve">SOP telah ditetapkan </t>
  </si>
  <si>
    <t>1. Capture e-performance / e- sakip.
2. Inovasi Internal PD terkait Pengukuran Kinerja</t>
  </si>
  <si>
    <t>1. Capture IT terkait manajemen SDM.
2. Inovasi Internal PD terkait manajemen SDM</t>
  </si>
  <si>
    <t>Monev atas Tindak Tanjut Rekomendasi Laporan Pelaksanaan Mtasi Pegawai</t>
  </si>
  <si>
    <t>Kegiatan Monev Pencapaian Kinerja secara Triwulanan (Monev Renaksi PK) yang dihadiri Kepala OPD / Eselon III, dengan eviden berupa:
1. Surat Undangan
2. Daftar Hadir 
3. Dokumentasi
4. Notulensi</t>
  </si>
  <si>
    <t>Kegiatan Penyusunan Penetapan Kinerja (RKT/PK) yang dihadiri Kepala OPD / Eselon III, dengan eviden berupa:
1. Surat Undangan
2. Daftar Hadir 
3. Dokumentasi
4. Notulensi</t>
  </si>
  <si>
    <t>Kegiatan Penyusunan Dokumen Perencanaan (RKT, Renja, Renstra) yang dihadiri Kepala OPD / Eselon III, dengan eviden berupa:
1. Surat Undangan
2. Daftar Hadir 
3. Dokumentasi
4. Notulensi</t>
  </si>
  <si>
    <t>1. Dokumen Perencanaan Jangka Menengah:
- Renstra
2. Dokumen Perencanaan Jangka Pendek
a. Renja
b. RKT / PK
c. RKA</t>
  </si>
  <si>
    <t>LHE SAKIP OPD Inspektorat</t>
  </si>
  <si>
    <t>PK &amp; PK Perubahan (Eselon II, III, IV)</t>
  </si>
  <si>
    <t>1. LAKIP OPD (Tanggal sebelum Maret Th berkenaan)
2. Tanda Terima Penyerahan LAKIP.</t>
  </si>
  <si>
    <t>LAKIP OPD
1. Cek penyajian capaian kinerja
2. Cek penyajian capaian anggaran</t>
  </si>
  <si>
    <t xml:space="preserve">https://e-sakip.tangerangselatankota.go.id </t>
  </si>
  <si>
    <t>1. Pelatihan Terkait Akuntabilitas Kinerja
a. Surat Undangan Bimtek/PKS/Pelatihan/Workshop
b. Daftar Hadir
c. Dokumentasi
d. Notulensi
e. Sertifikat
2. Gap Analisis antara Jumlah Pegawai dengan Jumlah Pegawai Yg Telah Pelatihan terkait Akuntabilitas Kinerja</t>
  </si>
  <si>
    <t>1. Himbauan Terkait Gratifikasi Media Cetak
a. Surat Ke Semua Pegawai
b. Banner/Leaflet/Dll
c. Papan Pengumuman
2. Himbauan Terkait Gratifikasi Digital
a. Medsos
b. WA Status
Secara berkala di update</t>
  </si>
  <si>
    <t>1. Tim SPIP OPD
2. Laporan Penilaian Mandiri SPIP
3. LHE Evaluasi SPIP PD Inspektorat</t>
  </si>
  <si>
    <t>1. Kegiatan Penyusunan DPR OPD Tahunan
a. Surat Undangan
b. Daftar Hadir
c. Notulensi
d. Dokumentasi
2. Dokumen DPR / RTP OPD Tahunan
3. LHR DPR oleh Inspektorat</t>
  </si>
  <si>
    <t>1. SK Tim UPG
2. SOP UPG
3. Laporan Rekapitulasi    dan    Tindak    Lanjut     Pelaporan  Penerimaan,  Penolakan,  Pemberian  dan  Permintaan  Gratifikasi</t>
  </si>
  <si>
    <t>1. Laporan Realisasi Atas Pengkomunikasian Kegiatan Pengendalian Yang Dibangun
2. Laporan Realisasi Pemantauan atas Kegiatan Pengendalian Intern Yang Dibutuhkan
3. Laporan Pencatatan Kejadian Risiko (Risk Event)
4. Laporan Pelaksanaan RTP
5. Laporan Respon Terhadap Risiko Kecurangan</t>
  </si>
  <si>
    <t>1. Surat Ka OPD ke Eksternal terkait pelaksanaan SPI (Survey Penilaian Integritasi) MCP KPK
2. Surat Ka OPD ke Internal terkait pelaksanaan SPI (Survey Penilaian Integritasi) MCP KPK</t>
  </si>
  <si>
    <t>SK Kepala OPD Ttg SOP Prosedur/Mekanisme Penentuan Tim.
Memuat kriteria tim:
1) Berstatus sebagai PNS OPD Kota Tangerang Selatan.
2) Bersedia melakukan perubahan.
3) Bersedia bekerja dalam tim.
4) Bertanggung jawab atas tugas yang diberikan.
5) Memiliki kompetensi dan pengalaman pada jabatan yang diusulkan.
Bukti Penentuan Tim:
1. Mekanisme Rapat (apabila).
a. Undangan Rapat
b. Notulensi:
Memuat hasil mufakat ketua tim dan penanggungjawab yang diusulakn peserta rapat sesuai kriteria).
Memuat usulan penanggung jawab pokja terkait anggota tim dengan kriteria yang sama dan ditetapan mufakat oleh seluruh peserta rapat.
c. Absensi Rapat
d. Dokumentasi Rapat
2. Seleksi (apabila).
a. SK Tim Panitia Seleksi.
b. Kertas Kerja Pemilihan Tim Kerja
c. Dokumentasi seleksi.
d. Laporan Pelaksanaan Seleksi
Riwayat Hidup dan Rekam Jejak Tim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</si>
</sst>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42">
    <font>
      <sz val="11"/>
      <color theme="1"/>
      <name val="Calibri"/>
      <family val="2"/>
      <charset val="1"/>
      <scheme val="minor"/>
    </font>
    <font>
      <sz val="11"/>
      <color theme="1"/>
      <name val="Calibri"/>
      <family val="2"/>
      <charset val="1"/>
      <scheme val="minor"/>
    </font>
    <font>
      <u/>
      <sz val="11"/>
      <color theme="10"/>
      <name val="Calibri"/>
      <family val="2"/>
      <charset val="1"/>
      <scheme val="minor"/>
    </font>
    <font>
      <u/>
      <sz val="11"/>
      <color theme="11"/>
      <name val="Calibri"/>
      <family val="2"/>
      <charset val="1"/>
      <scheme val="minor"/>
    </font>
    <font>
      <sz val="11"/>
      <color theme="1"/>
      <name val="Bookman Old Style"/>
      <family val="1"/>
    </font>
    <font>
      <b/>
      <sz val="12"/>
      <color rgb="FFFFFFFF"/>
      <name val="Calibri"/>
      <family val="2"/>
    </font>
    <font>
      <b/>
      <sz val="12"/>
      <color rgb="FF000000"/>
      <name val="Calibri"/>
      <family val="2"/>
    </font>
    <font>
      <sz val="12"/>
      <color theme="1"/>
      <name val="Bookman Old Style"/>
      <family val="1"/>
    </font>
    <font>
      <sz val="14"/>
      <color theme="1"/>
      <name val="Bookman Old Style"/>
      <family val="1"/>
    </font>
    <font>
      <b/>
      <sz val="12"/>
      <color theme="1"/>
      <name val="Bookman Old Style"/>
      <family val="1"/>
    </font>
    <font>
      <sz val="12"/>
      <name val="Bookman Old Style"/>
      <family val="1"/>
    </font>
    <font>
      <i/>
      <sz val="12"/>
      <color theme="1"/>
      <name val="Bookman Old Style"/>
      <family val="1"/>
    </font>
    <font>
      <b/>
      <i/>
      <sz val="12"/>
      <color theme="1"/>
      <name val="Bookman Old Style"/>
      <family val="1"/>
    </font>
    <font>
      <i/>
      <sz val="12"/>
      <name val="Bookman Old Style"/>
      <family val="1"/>
    </font>
    <font>
      <sz val="12"/>
      <color theme="1"/>
      <name val="Calibri"/>
      <family val="2"/>
      <charset val="1"/>
      <scheme val="minor"/>
    </font>
    <font>
      <b/>
      <sz val="12"/>
      <name val="Bookman Old Style"/>
      <family val="1"/>
    </font>
    <font>
      <sz val="16"/>
      <color theme="1"/>
      <name val="Calibri"/>
      <family val="2"/>
      <charset val="1"/>
      <scheme val="minor"/>
    </font>
    <font>
      <sz val="18"/>
      <color theme="1"/>
      <name val="Bookman Old Style Bold Italic"/>
    </font>
    <font>
      <b/>
      <sz val="18"/>
      <color rgb="FFFFFFFF"/>
      <name val="Bookman Old Style Bold Italic"/>
    </font>
    <font>
      <b/>
      <sz val="18"/>
      <color rgb="FF000000"/>
      <name val="Bookman Old Style Bold Italic"/>
    </font>
    <font>
      <b/>
      <sz val="14"/>
      <color theme="1"/>
      <name val="Bookman Old Style"/>
      <family val="1"/>
    </font>
    <font>
      <sz val="14"/>
      <color theme="1"/>
      <name val="Bookman Old Style Bold"/>
    </font>
    <font>
      <b/>
      <sz val="14"/>
      <color rgb="FF000000"/>
      <name val="Bookman Old Style Bold"/>
    </font>
    <font>
      <b/>
      <sz val="14"/>
      <color theme="1"/>
      <name val="Bookman Old Style Bold"/>
    </font>
    <font>
      <b/>
      <sz val="12"/>
      <color rgb="FF000000"/>
      <name val="Bookman Old Style"/>
      <family val="1"/>
    </font>
    <font>
      <sz val="12"/>
      <color rgb="FF000000"/>
      <name val="Bookman Old Style"/>
      <family val="1"/>
    </font>
    <font>
      <b/>
      <sz val="12"/>
      <color rgb="FFFFFFFF"/>
      <name val="Bookman Old Style"/>
      <family val="1"/>
    </font>
    <font>
      <b/>
      <sz val="14"/>
      <color rgb="FF000000"/>
      <name val="Bookman Old Style"/>
      <family val="1"/>
    </font>
    <font>
      <b/>
      <sz val="16"/>
      <color rgb="FFFFFFFF"/>
      <name val="Bookman Old Style Bold Italic"/>
    </font>
    <font>
      <b/>
      <sz val="16"/>
      <color rgb="FFFFFFFF"/>
      <name val="Bookman Old Style"/>
      <family val="1"/>
    </font>
    <font>
      <b/>
      <sz val="16"/>
      <color rgb="FF000000"/>
      <name val="Bookman Old Style Bold Italic"/>
    </font>
    <font>
      <sz val="16"/>
      <color theme="1"/>
      <name val="Bookman Old Style Bold Italic"/>
    </font>
    <font>
      <sz val="11"/>
      <color indexed="8"/>
      <name val="Calibri"/>
      <family val="2"/>
      <charset val="134"/>
    </font>
    <font>
      <b/>
      <sz val="11"/>
      <color indexed="8"/>
      <name val="Calibri"/>
      <family val="2"/>
      <charset val="134"/>
    </font>
    <font>
      <sz val="12"/>
      <color indexed="8"/>
      <name val="Bookman Old Style"/>
      <family val="1"/>
    </font>
    <font>
      <b/>
      <sz val="12"/>
      <color indexed="8"/>
      <name val="Bookman Old Style"/>
      <family val="1"/>
    </font>
    <font>
      <sz val="18"/>
      <name val="Bookman Old Style"/>
      <family val="1"/>
    </font>
    <font>
      <sz val="12"/>
      <color indexed="8"/>
      <name val="Calibri"/>
      <family val="2"/>
    </font>
    <font>
      <sz val="12"/>
      <color theme="1"/>
      <name val="Bookman Old Style"/>
    </font>
    <font>
      <b/>
      <sz val="12"/>
      <color theme="1"/>
      <name val="Bookman Old Style"/>
    </font>
    <font>
      <sz val="12"/>
      <color rgb="FFFF0000"/>
      <name val="Bookman Old Style"/>
      <family val="1"/>
    </font>
    <font>
      <sz val="11"/>
      <name val="Calibri"/>
      <family val="2"/>
      <charset val="1"/>
      <scheme val="minor"/>
    </font>
  </fonts>
  <fills count="13">
    <fill>
      <patternFill patternType="none"/>
    </fill>
    <fill>
      <patternFill patternType="gray125"/>
    </fill>
    <fill>
      <patternFill patternType="solid">
        <fgColor theme="3" tint="0.59999389629810485"/>
        <bgColor indexed="64"/>
      </patternFill>
    </fill>
    <fill>
      <patternFill patternType="solid">
        <fgColor rgb="FF8497B0"/>
        <bgColor rgb="FF000000"/>
      </patternFill>
    </fill>
    <fill>
      <patternFill patternType="solid">
        <fgColor rgb="FF44546A"/>
        <bgColor rgb="FF000000"/>
      </patternFill>
    </fill>
    <fill>
      <patternFill patternType="solid">
        <fgColor rgb="FFD6DCE4"/>
        <bgColor rgb="FF000000"/>
      </patternFill>
    </fill>
    <fill>
      <patternFill patternType="solid">
        <fgColor rgb="FF8CB5E2"/>
        <bgColor indexed="64"/>
      </patternFill>
    </fill>
    <fill>
      <patternFill patternType="solid">
        <fgColor rgb="FF8497AF"/>
        <bgColor indexed="64"/>
      </patternFill>
    </fill>
    <fill>
      <patternFill patternType="solid">
        <fgColor rgb="FFD6DCE4"/>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39">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164" fontId="1" fillId="0" borderId="0" applyFont="0" applyFill="0" applyBorder="0" applyAlignment="0" applyProtection="0"/>
    <xf numFmtId="0" fontId="32" fillId="0" borderId="0">
      <alignment vertical="center"/>
    </xf>
    <xf numFmtId="0" fontId="2" fillId="0" borderId="0" applyNumberFormat="0" applyFill="0" applyBorder="0" applyAlignment="0" applyProtection="0"/>
  </cellStyleXfs>
  <cellXfs count="337">
    <xf numFmtId="0" fontId="0" fillId="0" borderId="0" xfId="0"/>
    <xf numFmtId="0" fontId="7" fillId="0" borderId="0" xfId="0" applyFont="1"/>
    <xf numFmtId="0" fontId="7" fillId="0" borderId="1" xfId="0" applyFont="1" applyBorder="1" applyAlignment="1">
      <alignment vertical="top" wrapText="1"/>
    </xf>
    <xf numFmtId="0" fontId="10" fillId="0" borderId="1" xfId="0" applyFont="1" applyBorder="1" applyAlignment="1">
      <alignment vertical="top" wrapText="1"/>
    </xf>
    <xf numFmtId="0" fontId="10" fillId="0" borderId="0" xfId="0" applyFont="1"/>
    <xf numFmtId="0" fontId="5" fillId="0" borderId="0" xfId="0" applyFont="1" applyAlignment="1">
      <alignment horizontal="center" vertical="center" wrapText="1"/>
    </xf>
    <xf numFmtId="2" fontId="5" fillId="0" borderId="0" xfId="0" applyNumberFormat="1" applyFont="1" applyAlignment="1">
      <alignment horizontal="center" vertical="center" wrapText="1"/>
    </xf>
    <xf numFmtId="0" fontId="6" fillId="0" borderId="0" xfId="0" applyFont="1" applyAlignment="1">
      <alignment horizontal="center"/>
    </xf>
    <xf numFmtId="0" fontId="7" fillId="0" borderId="0" xfId="0" applyFont="1" applyAlignment="1">
      <alignment horizontal="center"/>
    </xf>
    <xf numFmtId="0" fontId="7" fillId="0" borderId="0" xfId="0" applyFont="1" applyAlignment="1">
      <alignment vertical="top"/>
    </xf>
    <xf numFmtId="0" fontId="16" fillId="0" borderId="0" xfId="0" applyFont="1"/>
    <xf numFmtId="2" fontId="18" fillId="4" borderId="3" xfId="0" applyNumberFormat="1" applyFont="1" applyFill="1" applyBorder="1" applyAlignment="1">
      <alignment horizontal="center" vertical="center" wrapText="1"/>
    </xf>
    <xf numFmtId="0" fontId="19" fillId="0" borderId="0" xfId="0" applyFont="1" applyAlignment="1">
      <alignment horizontal="center"/>
    </xf>
    <xf numFmtId="0" fontId="17" fillId="0" borderId="0" xfId="0" applyFont="1" applyAlignment="1">
      <alignment horizontal="center"/>
    </xf>
    <xf numFmtId="0" fontId="8" fillId="0" borderId="0" xfId="0" applyFont="1" applyAlignment="1">
      <alignment vertical="top"/>
    </xf>
    <xf numFmtId="0" fontId="21" fillId="0" borderId="0" xfId="0" applyFont="1" applyAlignment="1">
      <alignment vertical="top"/>
    </xf>
    <xf numFmtId="0" fontId="22" fillId="3" borderId="1" xfId="0" applyFont="1" applyFill="1" applyBorder="1" applyAlignment="1">
      <alignment vertical="top" wrapText="1"/>
    </xf>
    <xf numFmtId="0" fontId="20" fillId="2" borderId="1" xfId="0" applyFont="1" applyFill="1" applyBorder="1" applyAlignment="1">
      <alignment horizontal="center" vertical="top" wrapText="1"/>
    </xf>
    <xf numFmtId="0" fontId="24" fillId="5" borderId="1" xfId="0" applyFont="1" applyFill="1" applyBorder="1" applyAlignment="1">
      <alignment vertical="top" wrapText="1"/>
    </xf>
    <xf numFmtId="0" fontId="7" fillId="0" borderId="1" xfId="0" applyFont="1" applyBorder="1" applyAlignment="1">
      <alignment horizontal="center" vertical="top" wrapText="1"/>
    </xf>
    <xf numFmtId="2" fontId="26" fillId="0" borderId="0" xfId="0" applyNumberFormat="1" applyFont="1" applyAlignment="1">
      <alignment horizontal="center" vertical="center" wrapText="1"/>
    </xf>
    <xf numFmtId="10" fontId="18" fillId="4" borderId="3" xfId="1" applyNumberFormat="1" applyFont="1" applyFill="1" applyBorder="1" applyAlignment="1">
      <alignment horizontal="center" vertical="center" wrapText="1"/>
    </xf>
    <xf numFmtId="10" fontId="5" fillId="0" borderId="0" xfId="1" applyNumberFormat="1" applyFont="1" applyFill="1" applyBorder="1" applyAlignment="1">
      <alignment horizontal="center" vertical="center" wrapText="1"/>
    </xf>
    <xf numFmtId="10" fontId="22" fillId="3" borderId="1" xfId="1" applyNumberFormat="1" applyFont="1" applyFill="1" applyBorder="1" applyAlignment="1">
      <alignment horizontal="center" vertical="top" wrapText="1"/>
    </xf>
    <xf numFmtId="10" fontId="20" fillId="2" borderId="2" xfId="1" applyNumberFormat="1" applyFont="1" applyFill="1" applyBorder="1" applyAlignment="1">
      <alignment horizontal="center" vertical="top" wrapText="1"/>
    </xf>
    <xf numFmtId="10" fontId="24" fillId="5" borderId="1" xfId="1" applyNumberFormat="1" applyFont="1" applyFill="1" applyBorder="1" applyAlignment="1">
      <alignment horizontal="center" vertical="top" wrapText="1"/>
    </xf>
    <xf numFmtId="10" fontId="0" fillId="0" borderId="0" xfId="1" applyNumberFormat="1" applyFont="1"/>
    <xf numFmtId="0" fontId="9" fillId="0" borderId="1" xfId="0" applyFont="1" applyBorder="1" applyAlignment="1">
      <alignment vertical="top"/>
    </xf>
    <xf numFmtId="0" fontId="9" fillId="0" borderId="1" xfId="0" applyFont="1"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horizontal="center" vertical="center"/>
    </xf>
    <xf numFmtId="2" fontId="0" fillId="0" borderId="1" xfId="0" applyNumberFormat="1" applyBorder="1" applyAlignment="1">
      <alignment horizontal="center" vertical="center" wrapText="1"/>
    </xf>
    <xf numFmtId="0" fontId="15" fillId="0" borderId="0" xfId="0" applyFont="1" applyAlignment="1">
      <alignment vertical="top"/>
    </xf>
    <xf numFmtId="0" fontId="15" fillId="0" borderId="0" xfId="0" applyFont="1" applyAlignment="1">
      <alignment horizontal="center" vertical="top"/>
    </xf>
    <xf numFmtId="0" fontId="10" fillId="0" borderId="0" xfId="0" applyFont="1" applyAlignment="1">
      <alignment horizontal="center" vertical="top"/>
    </xf>
    <xf numFmtId="0" fontId="10" fillId="0" borderId="0" xfId="0" applyFont="1" applyAlignment="1">
      <alignment vertical="top" wrapText="1"/>
    </xf>
    <xf numFmtId="0" fontId="10" fillId="0" borderId="0" xfId="0" applyFont="1" applyAlignment="1">
      <alignment horizontal="center" vertical="center"/>
    </xf>
    <xf numFmtId="10" fontId="10" fillId="0" borderId="0" xfId="1" applyNumberFormat="1" applyFont="1" applyFill="1"/>
    <xf numFmtId="2" fontId="24" fillId="5" borderId="1" xfId="0" applyNumberFormat="1" applyFont="1" applyFill="1" applyBorder="1" applyAlignment="1">
      <alignment horizontal="center" vertical="center" wrapText="1"/>
    </xf>
    <xf numFmtId="2" fontId="22" fillId="3" borderId="1" xfId="0" applyNumberFormat="1" applyFont="1" applyFill="1" applyBorder="1" applyAlignment="1">
      <alignment horizontal="center" vertical="center" wrapText="1"/>
    </xf>
    <xf numFmtId="0" fontId="0" fillId="0" borderId="0" xfId="0" applyAlignment="1">
      <alignment horizontal="center" vertical="center"/>
    </xf>
    <xf numFmtId="10" fontId="20" fillId="2" borderId="1" xfId="1" applyNumberFormat="1" applyFont="1" applyFill="1" applyBorder="1" applyAlignment="1">
      <alignment horizontal="center" vertical="top" wrapText="1"/>
    </xf>
    <xf numFmtId="10" fontId="18" fillId="4" borderId="1" xfId="1" applyNumberFormat="1" applyFont="1" applyFill="1" applyBorder="1" applyAlignment="1">
      <alignment horizontal="center" vertical="center" wrapText="1"/>
    </xf>
    <xf numFmtId="0" fontId="20" fillId="6" borderId="1" xfId="0" applyFont="1" applyFill="1" applyBorder="1" applyAlignment="1">
      <alignment vertical="top" wrapText="1"/>
    </xf>
    <xf numFmtId="2" fontId="20" fillId="2" borderId="1" xfId="0" applyNumberFormat="1" applyFont="1" applyFill="1" applyBorder="1" applyAlignment="1">
      <alignment horizontal="center" vertical="center" wrapText="1"/>
    </xf>
    <xf numFmtId="1" fontId="24" fillId="5" borderId="1" xfId="0" applyNumberFormat="1" applyFont="1" applyFill="1" applyBorder="1" applyAlignment="1">
      <alignment horizontal="center" vertical="top" wrapText="1"/>
    </xf>
    <xf numFmtId="49" fontId="9" fillId="8" borderId="1" xfId="0" applyNumberFormat="1" applyFont="1" applyFill="1" applyBorder="1" applyAlignment="1">
      <alignment vertical="top" wrapText="1"/>
    </xf>
    <xf numFmtId="2"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top"/>
    </xf>
    <xf numFmtId="10" fontId="7" fillId="9" borderId="1" xfId="1" applyNumberFormat="1" applyFont="1" applyFill="1" applyBorder="1" applyAlignment="1" applyProtection="1">
      <alignment horizontal="left" vertical="top" wrapText="1"/>
      <protection locked="0"/>
    </xf>
    <xf numFmtId="0" fontId="25" fillId="0" borderId="1" xfId="0" applyFont="1" applyBorder="1" applyAlignment="1">
      <alignment vertical="top" wrapText="1"/>
    </xf>
    <xf numFmtId="1" fontId="25" fillId="0" borderId="1" xfId="0" applyNumberFormat="1" applyFont="1" applyBorder="1" applyAlignment="1">
      <alignment horizontal="center" vertical="top" wrapText="1"/>
    </xf>
    <xf numFmtId="49" fontId="7" fillId="0" borderId="1" xfId="0" applyNumberFormat="1" applyFont="1" applyBorder="1" applyAlignment="1">
      <alignment vertical="top" wrapText="1"/>
    </xf>
    <xf numFmtId="2" fontId="25" fillId="0" borderId="1" xfId="0" applyNumberFormat="1" applyFont="1" applyBorder="1" applyAlignment="1">
      <alignment horizontal="center" vertical="center" wrapText="1"/>
    </xf>
    <xf numFmtId="10" fontId="25" fillId="9" borderId="1" xfId="1" applyNumberFormat="1" applyFont="1" applyFill="1" applyBorder="1" applyAlignment="1" applyProtection="1">
      <alignment horizontal="center" vertical="top" wrapText="1"/>
      <protection locked="0"/>
    </xf>
    <xf numFmtId="2" fontId="27" fillId="3" borderId="1" xfId="0" applyNumberFormat="1" applyFont="1" applyFill="1" applyBorder="1" applyAlignment="1">
      <alignment horizontal="center" vertical="center" wrapText="1"/>
    </xf>
    <xf numFmtId="2" fontId="4" fillId="0" borderId="0" xfId="0" applyNumberFormat="1" applyFont="1" applyAlignment="1">
      <alignment horizontal="center" vertical="center"/>
    </xf>
    <xf numFmtId="2" fontId="20" fillId="7" borderId="1" xfId="0" applyNumberFormat="1" applyFont="1" applyFill="1" applyBorder="1" applyAlignment="1">
      <alignment horizontal="center" vertical="center" wrapText="1"/>
    </xf>
    <xf numFmtId="2" fontId="10" fillId="0" borderId="0" xfId="0" applyNumberFormat="1" applyFont="1" applyAlignment="1">
      <alignment horizontal="center" vertical="center" wrapText="1"/>
    </xf>
    <xf numFmtId="10" fontId="22" fillId="3" borderId="1" xfId="1" applyNumberFormat="1" applyFont="1" applyFill="1" applyBorder="1" applyAlignment="1">
      <alignment horizontal="center" vertical="center" wrapText="1"/>
    </xf>
    <xf numFmtId="10" fontId="20" fillId="2" borderId="1" xfId="1" applyNumberFormat="1" applyFont="1" applyFill="1" applyBorder="1" applyAlignment="1">
      <alignment horizontal="center" vertical="center" wrapText="1"/>
    </xf>
    <xf numFmtId="10" fontId="25" fillId="0" borderId="1" xfId="1" applyNumberFormat="1" applyFont="1" applyFill="1" applyBorder="1" applyAlignment="1">
      <alignment horizontal="center" vertical="center" wrapText="1"/>
    </xf>
    <xf numFmtId="10" fontId="0" fillId="0" borderId="0" xfId="1" applyNumberFormat="1" applyFont="1" applyAlignment="1">
      <alignment vertical="center"/>
    </xf>
    <xf numFmtId="10" fontId="10" fillId="0" borderId="0" xfId="1" applyNumberFormat="1" applyFont="1" applyFill="1" applyAlignment="1">
      <alignment vertical="center"/>
    </xf>
    <xf numFmtId="10" fontId="24" fillId="5" borderId="1" xfId="1" applyNumberFormat="1" applyFont="1" applyFill="1" applyBorder="1" applyAlignment="1">
      <alignment horizontal="center" vertical="center" wrapText="1"/>
    </xf>
    <xf numFmtId="10" fontId="7" fillId="0" borderId="1" xfId="1" applyNumberFormat="1" applyFont="1" applyFill="1" applyBorder="1" applyAlignment="1">
      <alignment horizontal="center" vertical="center" wrapText="1"/>
    </xf>
    <xf numFmtId="10" fontId="0" fillId="0" borderId="0" xfId="1" applyNumberFormat="1" applyFont="1" applyAlignment="1">
      <alignment horizontal="center" vertical="center"/>
    </xf>
    <xf numFmtId="10" fontId="10" fillId="0" borderId="0" xfId="1" applyNumberFormat="1" applyFont="1" applyFill="1" applyAlignment="1">
      <alignment horizontal="center" vertical="center"/>
    </xf>
    <xf numFmtId="10" fontId="7" fillId="0" borderId="1" xfId="1" applyNumberFormat="1" applyFont="1" applyFill="1" applyBorder="1" applyAlignment="1">
      <alignment horizontal="center" vertical="center"/>
    </xf>
    <xf numFmtId="2" fontId="29" fillId="4" borderId="1" xfId="0" applyNumberFormat="1" applyFont="1" applyFill="1" applyBorder="1" applyAlignment="1">
      <alignment horizontal="center" vertical="center" wrapText="1"/>
    </xf>
    <xf numFmtId="2" fontId="28" fillId="4" borderId="1" xfId="0" applyNumberFormat="1" applyFont="1" applyFill="1" applyBorder="1" applyAlignment="1">
      <alignment horizontal="center" vertical="center" wrapText="1"/>
    </xf>
    <xf numFmtId="10" fontId="28" fillId="4" borderId="1" xfId="1" applyNumberFormat="1" applyFont="1" applyFill="1" applyBorder="1" applyAlignment="1">
      <alignment horizontal="center" vertical="center" wrapText="1"/>
    </xf>
    <xf numFmtId="0" fontId="30" fillId="0" borderId="0" xfId="0" applyFont="1" applyAlignment="1">
      <alignment horizontal="center"/>
    </xf>
    <xf numFmtId="0" fontId="31" fillId="0" borderId="0" xfId="0" applyFont="1" applyAlignment="1">
      <alignment horizontal="center"/>
    </xf>
    <xf numFmtId="2" fontId="5" fillId="0" borderId="0" xfId="0" applyNumberFormat="1" applyFont="1" applyAlignment="1">
      <alignment horizontal="left" vertical="top" wrapText="1"/>
    </xf>
    <xf numFmtId="0" fontId="10" fillId="0" borderId="0" xfId="0" applyFont="1" applyAlignment="1">
      <alignment horizontal="left" vertical="top" wrapText="1"/>
    </xf>
    <xf numFmtId="49" fontId="7" fillId="0" borderId="1" xfId="0" quotePrefix="1" applyNumberFormat="1" applyFont="1" applyBorder="1" applyAlignment="1">
      <alignment horizontal="center" vertical="top" wrapText="1"/>
    </xf>
    <xf numFmtId="2" fontId="8" fillId="0" borderId="1" xfId="0" applyNumberFormat="1" applyFont="1" applyBorder="1" applyAlignment="1">
      <alignment horizontal="center" vertical="center" wrapText="1"/>
    </xf>
    <xf numFmtId="10" fontId="8" fillId="0" borderId="1" xfId="1" applyNumberFormat="1" applyFont="1" applyFill="1" applyBorder="1" applyAlignment="1">
      <alignment horizontal="center" vertical="center" wrapText="1"/>
    </xf>
    <xf numFmtId="10" fontId="5" fillId="0" borderId="0" xfId="1" applyNumberFormat="1" applyFont="1" applyFill="1" applyBorder="1" applyAlignment="1">
      <alignment horizontal="left" vertical="top" wrapText="1"/>
    </xf>
    <xf numFmtId="165" fontId="18" fillId="4" borderId="3" xfId="36" applyNumberFormat="1" applyFont="1" applyFill="1" applyBorder="1" applyAlignment="1">
      <alignment horizontal="center" vertical="center" wrapText="1"/>
    </xf>
    <xf numFmtId="0" fontId="9" fillId="0" borderId="3" xfId="0" applyFont="1" applyBorder="1" applyAlignment="1">
      <alignment vertical="top"/>
    </xf>
    <xf numFmtId="0" fontId="32" fillId="0" borderId="0" xfId="37" applyAlignment="1">
      <alignment wrapText="1"/>
    </xf>
    <xf numFmtId="0" fontId="22" fillId="0" borderId="1" xfId="0" applyFont="1" applyBorder="1" applyAlignment="1">
      <alignment vertical="top" wrapText="1"/>
    </xf>
    <xf numFmtId="2" fontId="27" fillId="0" borderId="1" xfId="0" applyNumberFormat="1" applyFont="1" applyBorder="1" applyAlignment="1">
      <alignment horizontal="center" vertical="center" wrapText="1"/>
    </xf>
    <xf numFmtId="2" fontId="22" fillId="0" borderId="1" xfId="0" applyNumberFormat="1" applyFont="1" applyBorder="1" applyAlignment="1">
      <alignment horizontal="center" vertical="top" wrapText="1"/>
    </xf>
    <xf numFmtId="2" fontId="22" fillId="0" borderId="1" xfId="0" applyNumberFormat="1" applyFont="1" applyBorder="1" applyAlignment="1">
      <alignment horizontal="center" vertical="center" wrapText="1"/>
    </xf>
    <xf numFmtId="10" fontId="22" fillId="0" borderId="1" xfId="1" applyNumberFormat="1" applyFont="1" applyFill="1" applyBorder="1" applyAlignment="1">
      <alignment horizontal="center" vertical="center" wrapText="1"/>
    </xf>
    <xf numFmtId="10" fontId="22" fillId="0" borderId="1" xfId="1" applyNumberFormat="1" applyFont="1" applyFill="1" applyBorder="1" applyAlignment="1">
      <alignment horizontal="left" vertical="top" wrapText="1"/>
    </xf>
    <xf numFmtId="0" fontId="20" fillId="0" borderId="1" xfId="0" applyFont="1" applyBorder="1" applyAlignment="1">
      <alignment horizontal="center" vertical="top" wrapText="1"/>
    </xf>
    <xf numFmtId="2" fontId="20" fillId="0" borderId="1" xfId="0" applyNumberFormat="1" applyFont="1" applyBorder="1" applyAlignment="1">
      <alignment horizontal="center" vertical="center" wrapText="1"/>
    </xf>
    <xf numFmtId="2" fontId="20" fillId="0" borderId="1" xfId="0" applyNumberFormat="1" applyFont="1" applyBorder="1" applyAlignment="1">
      <alignment horizontal="center" vertical="top" wrapText="1"/>
    </xf>
    <xf numFmtId="10" fontId="20" fillId="0" borderId="1" xfId="1" applyNumberFormat="1" applyFont="1" applyFill="1" applyBorder="1" applyAlignment="1">
      <alignment horizontal="center" vertical="center" wrapText="1"/>
    </xf>
    <xf numFmtId="10" fontId="20" fillId="0" borderId="1" xfId="1" applyNumberFormat="1" applyFont="1" applyFill="1" applyBorder="1" applyAlignment="1">
      <alignment horizontal="left" vertical="top" wrapText="1"/>
    </xf>
    <xf numFmtId="0" fontId="24" fillId="0" borderId="1" xfId="0" applyFont="1" applyBorder="1" applyAlignment="1">
      <alignment vertical="top" wrapText="1"/>
    </xf>
    <xf numFmtId="1" fontId="24" fillId="0" borderId="1" xfId="0" applyNumberFormat="1" applyFont="1" applyBorder="1" applyAlignment="1">
      <alignment horizontal="center" vertical="top" wrapText="1"/>
    </xf>
    <xf numFmtId="49" fontId="9" fillId="0" borderId="1" xfId="0" applyNumberFormat="1" applyFont="1" applyBorder="1" applyAlignment="1">
      <alignment horizontal="center" vertical="top" wrapText="1"/>
    </xf>
    <xf numFmtId="2" fontId="24" fillId="0" borderId="1" xfId="0" applyNumberFormat="1" applyFont="1" applyBorder="1" applyAlignment="1">
      <alignment horizontal="center" vertical="center" wrapText="1"/>
    </xf>
    <xf numFmtId="2" fontId="24" fillId="0" borderId="1" xfId="0" applyNumberFormat="1" applyFont="1" applyBorder="1" applyAlignment="1">
      <alignment horizontal="left" vertical="top" wrapText="1"/>
    </xf>
    <xf numFmtId="10" fontId="24" fillId="0" borderId="1" xfId="1" applyNumberFormat="1" applyFont="1" applyFill="1" applyBorder="1" applyAlignment="1">
      <alignment horizontal="center" vertical="center" wrapText="1"/>
    </xf>
    <xf numFmtId="10" fontId="24" fillId="0" borderId="1" xfId="1" applyNumberFormat="1" applyFont="1" applyFill="1" applyBorder="1" applyAlignment="1">
      <alignment horizontal="left"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2" fontId="9" fillId="0" borderId="1" xfId="0" applyNumberFormat="1" applyFont="1" applyBorder="1" applyAlignment="1">
      <alignment horizontal="center" vertical="center" wrapText="1"/>
    </xf>
    <xf numFmtId="2" fontId="9" fillId="0" borderId="1" xfId="0" applyNumberFormat="1" applyFont="1" applyBorder="1" applyAlignment="1">
      <alignment horizontal="center" vertical="top" wrapText="1"/>
    </xf>
    <xf numFmtId="10" fontId="9" fillId="0" borderId="1" xfId="1" applyNumberFormat="1" applyFont="1" applyFill="1" applyBorder="1" applyAlignment="1">
      <alignment horizontal="center" vertical="center" wrapText="1"/>
    </xf>
    <xf numFmtId="10" fontId="9" fillId="0" borderId="1" xfId="1" applyNumberFormat="1" applyFont="1" applyFill="1" applyBorder="1" applyAlignment="1">
      <alignment horizontal="left" vertical="top"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10" fillId="0" borderId="1" xfId="0" applyFont="1" applyBorder="1" applyAlignment="1" applyProtection="1">
      <alignment horizontal="center" vertical="center" wrapText="1"/>
      <protection locked="0"/>
    </xf>
    <xf numFmtId="0" fontId="24" fillId="0" borderId="1" xfId="0" applyFont="1" applyBorder="1" applyAlignment="1">
      <alignment horizontal="center" vertical="top" wrapText="1"/>
    </xf>
    <xf numFmtId="0" fontId="7" fillId="0" borderId="3" xfId="0" applyFont="1" applyBorder="1" applyAlignment="1">
      <alignment vertical="top"/>
    </xf>
    <xf numFmtId="0" fontId="7" fillId="0" borderId="1" xfId="0" applyFont="1" applyBorder="1" applyAlignment="1">
      <alignment vertical="top"/>
    </xf>
    <xf numFmtId="2" fontId="29" fillId="10" borderId="1" xfId="0" applyNumberFormat="1" applyFont="1" applyFill="1" applyBorder="1" applyAlignment="1">
      <alignment horizontal="center" vertical="center" wrapText="1"/>
    </xf>
    <xf numFmtId="2" fontId="28" fillId="10" borderId="1" xfId="0" applyNumberFormat="1" applyFont="1" applyFill="1" applyBorder="1" applyAlignment="1">
      <alignment horizontal="center" vertical="center" wrapText="1"/>
    </xf>
    <xf numFmtId="10" fontId="28" fillId="10" borderId="1" xfId="1" applyNumberFormat="1" applyFont="1" applyFill="1" applyBorder="1" applyAlignment="1">
      <alignment horizontal="center" vertical="center" wrapText="1"/>
    </xf>
    <xf numFmtId="0" fontId="30" fillId="10" borderId="0" xfId="0" applyFont="1" applyFill="1" applyAlignment="1">
      <alignment horizontal="center"/>
    </xf>
    <xf numFmtId="0" fontId="0" fillId="10" borderId="0" xfId="0" applyFill="1"/>
    <xf numFmtId="0" fontId="17" fillId="10" borderId="0" xfId="0" applyFont="1" applyFill="1" applyAlignment="1">
      <alignment horizontal="center"/>
    </xf>
    <xf numFmtId="0" fontId="7" fillId="0" borderId="1" xfId="0" applyFont="1" applyBorder="1" applyAlignment="1">
      <alignment horizontal="left" vertical="top" wrapText="1"/>
    </xf>
    <xf numFmtId="0" fontId="9" fillId="0" borderId="7" xfId="0" applyFont="1" applyBorder="1" applyAlignment="1">
      <alignment vertical="top"/>
    </xf>
    <xf numFmtId="0" fontId="0" fillId="0" borderId="8" xfId="0" applyBorder="1"/>
    <xf numFmtId="0" fontId="7" fillId="0" borderId="9" xfId="0" applyFont="1" applyBorder="1"/>
    <xf numFmtId="0" fontId="7" fillId="0" borderId="5" xfId="0" applyFont="1" applyBorder="1"/>
    <xf numFmtId="0" fontId="7" fillId="0" borderId="9" xfId="0" applyFont="1" applyBorder="1" applyAlignment="1">
      <alignment vertical="top"/>
    </xf>
    <xf numFmtId="0" fontId="0" fillId="11" borderId="0" xfId="0" applyFill="1"/>
    <xf numFmtId="0" fontId="7" fillId="11" borderId="0" xfId="0" applyFont="1" applyFill="1"/>
    <xf numFmtId="0" fontId="7" fillId="11" borderId="0" xfId="0" applyFont="1" applyFill="1" applyAlignment="1">
      <alignment vertical="top"/>
    </xf>
    <xf numFmtId="0" fontId="32" fillId="11" borderId="0" xfId="37" applyFill="1" applyAlignment="1">
      <alignment wrapText="1"/>
    </xf>
    <xf numFmtId="0" fontId="9" fillId="12" borderId="1" xfId="0" applyFont="1" applyFill="1" applyBorder="1" applyAlignment="1">
      <alignment vertical="top"/>
    </xf>
    <xf numFmtId="0" fontId="9" fillId="12" borderId="1" xfId="0" applyFont="1" applyFill="1" applyBorder="1" applyAlignment="1">
      <alignment horizontal="center" vertical="top"/>
    </xf>
    <xf numFmtId="0" fontId="7" fillId="12" borderId="1" xfId="0" applyFont="1" applyFill="1" applyBorder="1" applyAlignment="1">
      <alignment horizontal="center" vertical="top"/>
    </xf>
    <xf numFmtId="0" fontId="7" fillId="12" borderId="1" xfId="0" applyFont="1" applyFill="1" applyBorder="1" applyAlignment="1">
      <alignment vertical="top" wrapText="1"/>
    </xf>
    <xf numFmtId="2" fontId="7" fillId="12" borderId="1" xfId="0" applyNumberFormat="1" applyFont="1" applyFill="1" applyBorder="1" applyAlignment="1">
      <alignment horizontal="center" vertical="center" wrapText="1"/>
    </xf>
    <xf numFmtId="0" fontId="7" fillId="12" borderId="1" xfId="0" applyFont="1" applyFill="1" applyBorder="1" applyAlignment="1">
      <alignment horizontal="center" vertical="center"/>
    </xf>
    <xf numFmtId="10" fontId="14" fillId="12" borderId="1" xfId="1" applyNumberFormat="1" applyFont="1" applyFill="1" applyBorder="1" applyAlignment="1" applyProtection="1">
      <alignment horizontal="center" vertical="center" wrapText="1"/>
    </xf>
    <xf numFmtId="2" fontId="0" fillId="12" borderId="1" xfId="0" applyNumberFormat="1" applyFill="1" applyBorder="1" applyAlignment="1">
      <alignment horizontal="center" vertical="center" wrapText="1"/>
    </xf>
    <xf numFmtId="10" fontId="7" fillId="12" borderId="1" xfId="1" applyNumberFormat="1" applyFont="1" applyFill="1" applyBorder="1" applyAlignment="1">
      <alignment horizontal="center" vertical="center"/>
    </xf>
    <xf numFmtId="0" fontId="7" fillId="12" borderId="0" xfId="0" applyFont="1" applyFill="1"/>
    <xf numFmtId="10" fontId="7" fillId="12" borderId="1" xfId="1" applyNumberFormat="1" applyFont="1" applyFill="1" applyBorder="1" applyAlignment="1" applyProtection="1">
      <alignment horizontal="left" vertical="top" wrapText="1"/>
      <protection locked="0"/>
    </xf>
    <xf numFmtId="0" fontId="7" fillId="12" borderId="1" xfId="0" quotePrefix="1" applyFont="1" applyFill="1" applyBorder="1" applyAlignment="1">
      <alignment vertical="top" wrapText="1"/>
    </xf>
    <xf numFmtId="0" fontId="10" fillId="12" borderId="1" xfId="0" applyFont="1" applyFill="1" applyBorder="1" applyAlignment="1" applyProtection="1">
      <alignment horizontal="center" vertical="center"/>
      <protection locked="0"/>
    </xf>
    <xf numFmtId="0" fontId="9" fillId="12" borderId="1" xfId="0" applyFont="1" applyFill="1" applyBorder="1" applyAlignment="1">
      <alignment vertical="top" wrapText="1"/>
    </xf>
    <xf numFmtId="0" fontId="9" fillId="12" borderId="1" xfId="0" applyFont="1" applyFill="1" applyBorder="1" applyAlignment="1">
      <alignment horizontal="center" vertical="top" wrapText="1"/>
    </xf>
    <xf numFmtId="2" fontId="9" fillId="12" borderId="1" xfId="0" applyNumberFormat="1" applyFont="1" applyFill="1" applyBorder="1" applyAlignment="1">
      <alignment horizontal="center" vertical="center" wrapText="1"/>
    </xf>
    <xf numFmtId="2" fontId="9" fillId="12" borderId="1" xfId="0" applyNumberFormat="1" applyFont="1" applyFill="1" applyBorder="1" applyAlignment="1">
      <alignment horizontal="center" vertical="top" wrapText="1"/>
    </xf>
    <xf numFmtId="10" fontId="9" fillId="12" borderId="1" xfId="1" applyNumberFormat="1" applyFont="1" applyFill="1" applyBorder="1" applyAlignment="1">
      <alignment horizontal="center" vertical="center" wrapText="1"/>
    </xf>
    <xf numFmtId="0" fontId="7" fillId="12" borderId="0" xfId="0" applyFont="1" applyFill="1" applyAlignment="1">
      <alignment vertical="top"/>
    </xf>
    <xf numFmtId="10" fontId="9" fillId="12" borderId="1" xfId="1" applyNumberFormat="1" applyFont="1" applyFill="1" applyBorder="1" applyAlignment="1">
      <alignment horizontal="left" vertical="top" wrapText="1"/>
    </xf>
    <xf numFmtId="0" fontId="7" fillId="12" borderId="1" xfId="0" quotePrefix="1" applyFont="1" applyFill="1" applyBorder="1" applyAlignment="1">
      <alignment horizontal="center" vertical="top"/>
    </xf>
    <xf numFmtId="0" fontId="7" fillId="12" borderId="1" xfId="0" applyFont="1" applyFill="1" applyBorder="1" applyAlignment="1">
      <alignment horizontal="left" vertical="top" wrapText="1"/>
    </xf>
    <xf numFmtId="0" fontId="10" fillId="12" borderId="1" xfId="0" applyFont="1" applyFill="1" applyBorder="1" applyAlignment="1" applyProtection="1">
      <alignment horizontal="center" vertical="center" wrapText="1"/>
      <protection locked="0"/>
    </xf>
    <xf numFmtId="0" fontId="24" fillId="12" borderId="1" xfId="0" applyFont="1" applyFill="1" applyBorder="1" applyAlignment="1">
      <alignment vertical="top" wrapText="1"/>
    </xf>
    <xf numFmtId="1" fontId="24" fillId="12" borderId="1" xfId="0" applyNumberFormat="1" applyFont="1" applyFill="1" applyBorder="1" applyAlignment="1">
      <alignment horizontal="center" vertical="top" wrapText="1"/>
    </xf>
    <xf numFmtId="49" fontId="9" fillId="12" borderId="1" xfId="0" applyNumberFormat="1" applyFont="1" applyFill="1" applyBorder="1" applyAlignment="1">
      <alignment horizontal="center" vertical="top" wrapText="1"/>
    </xf>
    <xf numFmtId="2" fontId="24" fillId="12" borderId="1" xfId="0" applyNumberFormat="1" applyFont="1" applyFill="1" applyBorder="1" applyAlignment="1">
      <alignment horizontal="center" vertical="center" wrapText="1"/>
    </xf>
    <xf numFmtId="2" fontId="24" fillId="12" borderId="1" xfId="0" applyNumberFormat="1" applyFont="1" applyFill="1" applyBorder="1" applyAlignment="1">
      <alignment horizontal="left" vertical="top" wrapText="1"/>
    </xf>
    <xf numFmtId="10" fontId="24" fillId="12" borderId="1" xfId="1" applyNumberFormat="1" applyFont="1" applyFill="1" applyBorder="1" applyAlignment="1">
      <alignment horizontal="center" vertical="center" wrapText="1"/>
    </xf>
    <xf numFmtId="10" fontId="24" fillId="12" borderId="1" xfId="1" applyNumberFormat="1" applyFont="1" applyFill="1" applyBorder="1" applyAlignment="1">
      <alignment horizontal="left" vertical="top" wrapText="1"/>
    </xf>
    <xf numFmtId="0" fontId="7" fillId="12" borderId="9" xfId="0" applyFont="1" applyFill="1" applyBorder="1"/>
    <xf numFmtId="0" fontId="7" fillId="12" borderId="5" xfId="0" applyFont="1" applyFill="1" applyBorder="1" applyAlignment="1">
      <alignment vertical="top"/>
    </xf>
    <xf numFmtId="0" fontId="7" fillId="12" borderId="5" xfId="0" applyFont="1" applyFill="1" applyBorder="1"/>
    <xf numFmtId="0" fontId="7" fillId="12" borderId="9" xfId="0" applyFont="1" applyFill="1" applyBorder="1" applyAlignment="1">
      <alignment vertical="top"/>
    </xf>
    <xf numFmtId="10" fontId="9" fillId="12" borderId="1" xfId="1" applyNumberFormat="1" applyFont="1" applyFill="1" applyBorder="1" applyAlignment="1" applyProtection="1">
      <alignment horizontal="center" vertical="top" wrapText="1"/>
      <protection locked="0"/>
    </xf>
    <xf numFmtId="0" fontId="7" fillId="12" borderId="1" xfId="0" quotePrefix="1" applyFont="1" applyFill="1" applyBorder="1" applyAlignment="1">
      <alignment horizontal="right" vertical="top"/>
    </xf>
    <xf numFmtId="2" fontId="7" fillId="12" borderId="1" xfId="0" applyNumberFormat="1" applyFont="1" applyFill="1" applyBorder="1" applyAlignment="1">
      <alignment horizontal="left" vertical="top" wrapText="1"/>
    </xf>
    <xf numFmtId="0" fontId="7" fillId="12" borderId="1" xfId="0" applyFont="1" applyFill="1" applyBorder="1" applyAlignment="1">
      <alignment horizontal="center" vertical="top" wrapText="1"/>
    </xf>
    <xf numFmtId="0" fontId="7" fillId="12" borderId="1" xfId="0" quotePrefix="1" applyFont="1" applyFill="1" applyBorder="1" applyAlignment="1">
      <alignment horizontal="center" vertical="top" wrapText="1"/>
    </xf>
    <xf numFmtId="10" fontId="7" fillId="12" borderId="1" xfId="1" applyNumberFormat="1" applyFont="1" applyFill="1" applyBorder="1" applyAlignment="1">
      <alignment horizontal="center" vertical="center" wrapText="1"/>
    </xf>
    <xf numFmtId="10" fontId="9" fillId="12" borderId="3" xfId="1" applyNumberFormat="1" applyFont="1" applyFill="1" applyBorder="1" applyAlignment="1">
      <alignment horizontal="left" vertical="top" wrapText="1"/>
    </xf>
    <xf numFmtId="0" fontId="33" fillId="12" borderId="1" xfId="37" applyFont="1" applyFill="1" applyBorder="1" applyAlignment="1">
      <alignment vertical="top" wrapText="1"/>
    </xf>
    <xf numFmtId="0" fontId="33" fillId="12" borderId="1" xfId="37" applyFont="1" applyFill="1" applyBorder="1" applyAlignment="1">
      <alignment horizontal="center" vertical="top" wrapText="1"/>
    </xf>
    <xf numFmtId="2" fontId="32" fillId="12" borderId="1" xfId="37" applyNumberFormat="1" applyFill="1" applyBorder="1" applyAlignment="1">
      <alignment horizontal="center" vertical="center" wrapText="1"/>
    </xf>
    <xf numFmtId="2" fontId="32" fillId="12" borderId="1" xfId="37" applyNumberFormat="1" applyFill="1" applyBorder="1" applyAlignment="1">
      <alignment horizontal="left" vertical="top" wrapText="1"/>
    </xf>
    <xf numFmtId="0" fontId="32" fillId="12" borderId="0" xfId="37" applyFill="1" applyAlignment="1">
      <alignment wrapText="1"/>
    </xf>
    <xf numFmtId="2" fontId="37" fillId="12" borderId="1" xfId="37" applyNumberFormat="1" applyFont="1" applyFill="1" applyBorder="1" applyAlignment="1">
      <alignment horizontal="left" vertical="top" wrapText="1"/>
    </xf>
    <xf numFmtId="2" fontId="32" fillId="12" borderId="0" xfId="37" applyNumberFormat="1" applyFill="1" applyAlignment="1">
      <alignment horizontal="left" vertical="top" wrapText="1"/>
    </xf>
    <xf numFmtId="0" fontId="32" fillId="12" borderId="1" xfId="37" applyFill="1" applyBorder="1" applyAlignment="1">
      <alignment vertical="top" wrapText="1"/>
    </xf>
    <xf numFmtId="0" fontId="32" fillId="12" borderId="1" xfId="37" applyFill="1" applyBorder="1" applyAlignment="1">
      <alignment horizontal="center" vertical="top" wrapText="1"/>
    </xf>
    <xf numFmtId="0" fontId="34" fillId="12" borderId="1" xfId="37" quotePrefix="1" applyFont="1" applyFill="1" applyBorder="1" applyAlignment="1">
      <alignment horizontal="center" vertical="top" wrapText="1"/>
    </xf>
    <xf numFmtId="0" fontId="34" fillId="12" borderId="2" xfId="37" applyFont="1" applyFill="1" applyBorder="1" applyAlignment="1">
      <alignment horizontal="left" vertical="top" wrapText="1"/>
    </xf>
    <xf numFmtId="2" fontId="34" fillId="12" borderId="1" xfId="37" applyNumberFormat="1" applyFont="1" applyFill="1" applyBorder="1" applyAlignment="1">
      <alignment horizontal="center" vertical="center" wrapText="1"/>
    </xf>
    <xf numFmtId="2" fontId="34" fillId="12" borderId="1" xfId="37" applyNumberFormat="1" applyFont="1" applyFill="1" applyBorder="1" applyAlignment="1">
      <alignment horizontal="left" vertical="top" wrapText="1"/>
    </xf>
    <xf numFmtId="10" fontId="34" fillId="12" borderId="1" xfId="37" applyNumberFormat="1" applyFont="1" applyFill="1" applyBorder="1" applyAlignment="1">
      <alignment horizontal="center" vertical="center" wrapText="1"/>
    </xf>
    <xf numFmtId="2" fontId="32" fillId="12" borderId="1" xfId="37" applyNumberFormat="1" applyFill="1" applyBorder="1" applyAlignment="1" applyProtection="1">
      <alignment horizontal="center" vertical="center" wrapText="1"/>
      <protection locked="0"/>
    </xf>
    <xf numFmtId="0" fontId="34" fillId="12" borderId="1" xfId="37" applyFont="1" applyFill="1" applyBorder="1" applyAlignment="1">
      <alignment horizontal="right" vertical="top" wrapText="1"/>
    </xf>
    <xf numFmtId="2" fontId="32" fillId="12" borderId="1" xfId="37" applyNumberFormat="1" applyFill="1" applyBorder="1" applyAlignment="1" applyProtection="1">
      <alignment horizontal="left" vertical="top" wrapText="1"/>
      <protection locked="0"/>
    </xf>
    <xf numFmtId="2" fontId="32" fillId="12" borderId="0" xfId="37" applyNumberFormat="1" applyFill="1" applyAlignment="1" applyProtection="1">
      <alignment horizontal="left" vertical="top" wrapText="1"/>
      <protection locked="0"/>
    </xf>
    <xf numFmtId="0" fontId="34" fillId="12" borderId="1" xfId="37" applyFont="1" applyFill="1" applyBorder="1" applyAlignment="1">
      <alignment horizontal="center" vertical="top" wrapText="1"/>
    </xf>
    <xf numFmtId="0" fontId="34" fillId="12" borderId="2" xfId="37" quotePrefix="1" applyFont="1" applyFill="1" applyBorder="1" applyAlignment="1">
      <alignment horizontal="left" vertical="top" wrapText="1"/>
    </xf>
    <xf numFmtId="2" fontId="34" fillId="12" borderId="1" xfId="37" applyNumberFormat="1" applyFont="1" applyFill="1" applyBorder="1" applyAlignment="1" applyProtection="1">
      <alignment horizontal="center" vertical="center" wrapText="1"/>
      <protection locked="0"/>
    </xf>
    <xf numFmtId="0" fontId="34" fillId="12" borderId="1" xfId="37" quotePrefix="1" applyFont="1" applyFill="1" applyBorder="1" applyAlignment="1">
      <alignment horizontal="right" vertical="top" wrapText="1"/>
    </xf>
    <xf numFmtId="0" fontId="32" fillId="12" borderId="9" xfId="37" applyFill="1" applyBorder="1" applyAlignment="1">
      <alignment wrapText="1"/>
    </xf>
    <xf numFmtId="0" fontId="32" fillId="12" borderId="5" xfId="37" applyFill="1" applyBorder="1" applyAlignment="1">
      <alignment wrapText="1"/>
    </xf>
    <xf numFmtId="0" fontId="9" fillId="12" borderId="1" xfId="0" quotePrefix="1" applyFont="1" applyFill="1" applyBorder="1" applyAlignment="1">
      <alignment horizontal="center" vertical="top"/>
    </xf>
    <xf numFmtId="10" fontId="7" fillId="12" borderId="7" xfId="1" applyNumberFormat="1" applyFont="1" applyFill="1" applyBorder="1" applyAlignment="1" applyProtection="1">
      <alignment horizontal="left" vertical="top" wrapText="1"/>
      <protection locked="0"/>
    </xf>
    <xf numFmtId="2" fontId="4" fillId="12" borderId="1" xfId="0" applyNumberFormat="1" applyFont="1" applyFill="1" applyBorder="1" applyAlignment="1">
      <alignment horizontal="center" vertical="center" wrapText="1"/>
    </xf>
    <xf numFmtId="2" fontId="22" fillId="12" borderId="1" xfId="0" applyNumberFormat="1" applyFont="1" applyFill="1" applyBorder="1" applyAlignment="1">
      <alignment horizontal="center" vertical="center" wrapText="1"/>
    </xf>
    <xf numFmtId="10" fontId="22" fillId="12" borderId="1" xfId="1" applyNumberFormat="1" applyFont="1" applyFill="1" applyBorder="1" applyAlignment="1">
      <alignment horizontal="center" vertical="center" wrapText="1"/>
    </xf>
    <xf numFmtId="0" fontId="21" fillId="12" borderId="0" xfId="0" applyFont="1" applyFill="1" applyAlignment="1">
      <alignment vertical="top"/>
    </xf>
    <xf numFmtId="10" fontId="22" fillId="12" borderId="1" xfId="1" applyNumberFormat="1" applyFont="1" applyFill="1" applyBorder="1" applyAlignment="1">
      <alignment horizontal="left" vertical="top" wrapText="1"/>
    </xf>
    <xf numFmtId="0" fontId="0" fillId="12" borderId="10" xfId="0" applyFill="1" applyBorder="1"/>
    <xf numFmtId="0" fontId="0" fillId="12" borderId="0" xfId="0" applyFill="1" applyAlignment="1">
      <alignment horizontal="center"/>
    </xf>
    <xf numFmtId="0" fontId="0" fillId="12" borderId="0" xfId="0" applyFill="1"/>
    <xf numFmtId="2" fontId="4" fillId="12" borderId="0" xfId="0" applyNumberFormat="1" applyFont="1" applyFill="1" applyAlignment="1">
      <alignment horizontal="center" vertical="center"/>
    </xf>
    <xf numFmtId="0" fontId="0" fillId="12" borderId="0" xfId="0" applyFill="1" applyAlignment="1">
      <alignment horizontal="center" vertical="center"/>
    </xf>
    <xf numFmtId="10" fontId="0" fillId="12" borderId="0" xfId="1" applyNumberFormat="1" applyFont="1" applyFill="1" applyBorder="1" applyAlignment="1">
      <alignment horizontal="center" vertical="center"/>
    </xf>
    <xf numFmtId="0" fontId="22" fillId="12" borderId="1" xfId="0" applyFont="1" applyFill="1" applyBorder="1" applyAlignment="1">
      <alignment vertical="top" wrapText="1"/>
    </xf>
    <xf numFmtId="2" fontId="20" fillId="12" borderId="1" xfId="0" applyNumberFormat="1" applyFont="1" applyFill="1" applyBorder="1" applyAlignment="1">
      <alignment horizontal="center" vertical="center" wrapText="1"/>
    </xf>
    <xf numFmtId="0" fontId="23" fillId="12" borderId="1" xfId="0" applyFont="1" applyFill="1" applyBorder="1" applyAlignment="1">
      <alignment vertical="top" wrapText="1"/>
    </xf>
    <xf numFmtId="0" fontId="20" fillId="12" borderId="1" xfId="0" applyFont="1" applyFill="1" applyBorder="1" applyAlignment="1">
      <alignment horizontal="center" vertical="top" wrapText="1"/>
    </xf>
    <xf numFmtId="2" fontId="20" fillId="12" borderId="1" xfId="0" applyNumberFormat="1" applyFont="1" applyFill="1" applyBorder="1" applyAlignment="1">
      <alignment horizontal="center" vertical="top" wrapText="1"/>
    </xf>
    <xf numFmtId="10" fontId="20" fillId="12" borderId="1" xfId="1" applyNumberFormat="1" applyFont="1" applyFill="1" applyBorder="1" applyAlignment="1">
      <alignment horizontal="center" vertical="center" wrapText="1"/>
    </xf>
    <xf numFmtId="0" fontId="8" fillId="12" borderId="0" xfId="0" applyFont="1" applyFill="1" applyAlignment="1">
      <alignment vertical="top"/>
    </xf>
    <xf numFmtId="10" fontId="20" fillId="12" borderId="1" xfId="1" applyNumberFormat="1" applyFont="1" applyFill="1" applyBorder="1" applyAlignment="1">
      <alignment horizontal="left" vertical="top" wrapText="1"/>
    </xf>
    <xf numFmtId="0" fontId="25" fillId="12" borderId="1" xfId="0" applyFont="1" applyFill="1" applyBorder="1" applyAlignment="1">
      <alignment vertical="top" wrapText="1"/>
    </xf>
    <xf numFmtId="1" fontId="25" fillId="12" borderId="1" xfId="0" applyNumberFormat="1" applyFont="1" applyFill="1" applyBorder="1" applyAlignment="1">
      <alignment horizontal="center" vertical="top" wrapText="1"/>
    </xf>
    <xf numFmtId="49" fontId="7" fillId="12" borderId="1" xfId="0" quotePrefix="1" applyNumberFormat="1" applyFont="1" applyFill="1" applyBorder="1" applyAlignment="1">
      <alignment horizontal="center" vertical="top" wrapText="1"/>
    </xf>
    <xf numFmtId="2" fontId="25" fillId="12" borderId="1" xfId="0" applyNumberFormat="1" applyFont="1" applyFill="1" applyBorder="1" applyAlignment="1">
      <alignment horizontal="center" vertical="center" wrapText="1"/>
    </xf>
    <xf numFmtId="2" fontId="25" fillId="12" borderId="1" xfId="0" applyNumberFormat="1" applyFont="1" applyFill="1" applyBorder="1" applyAlignment="1">
      <alignment horizontal="left" vertical="top" wrapText="1"/>
    </xf>
    <xf numFmtId="2" fontId="24" fillId="12" borderId="1" xfId="0" applyNumberFormat="1" applyFont="1" applyFill="1" applyBorder="1" applyAlignment="1" applyProtection="1">
      <alignment horizontal="center" vertical="center" wrapText="1"/>
      <protection locked="0"/>
    </xf>
    <xf numFmtId="10" fontId="25" fillId="12" borderId="1" xfId="1" applyNumberFormat="1" applyFont="1" applyFill="1" applyBorder="1" applyAlignment="1">
      <alignment horizontal="center" vertical="center" wrapText="1"/>
    </xf>
    <xf numFmtId="10" fontId="24" fillId="12" borderId="1" xfId="1" applyNumberFormat="1" applyFont="1" applyFill="1" applyBorder="1" applyAlignment="1" applyProtection="1">
      <alignment horizontal="left" vertical="top" wrapText="1"/>
      <protection locked="0"/>
    </xf>
    <xf numFmtId="0" fontId="8" fillId="12" borderId="9" xfId="0" applyFont="1" applyFill="1" applyBorder="1" applyAlignment="1">
      <alignment vertical="top"/>
    </xf>
    <xf numFmtId="0" fontId="25" fillId="12" borderId="7" xfId="0" applyFont="1" applyFill="1" applyBorder="1" applyAlignment="1">
      <alignment vertical="top" wrapText="1"/>
    </xf>
    <xf numFmtId="1" fontId="25" fillId="12" borderId="7" xfId="0" applyNumberFormat="1" applyFont="1" applyFill="1" applyBorder="1" applyAlignment="1">
      <alignment horizontal="center" vertical="top" wrapText="1"/>
    </xf>
    <xf numFmtId="49" fontId="7" fillId="12" borderId="7" xfId="0" quotePrefix="1" applyNumberFormat="1" applyFont="1" applyFill="1" applyBorder="1" applyAlignment="1">
      <alignment horizontal="center" vertical="top" wrapText="1"/>
    </xf>
    <xf numFmtId="2" fontId="25" fillId="12" borderId="7" xfId="0" applyNumberFormat="1" applyFont="1" applyFill="1" applyBorder="1" applyAlignment="1">
      <alignment horizontal="center" vertical="center" wrapText="1"/>
    </xf>
    <xf numFmtId="2" fontId="25" fillId="12" borderId="7" xfId="0" applyNumberFormat="1" applyFont="1" applyFill="1" applyBorder="1" applyAlignment="1">
      <alignment horizontal="left" vertical="top" wrapText="1"/>
    </xf>
    <xf numFmtId="2" fontId="24" fillId="12" borderId="7" xfId="0" applyNumberFormat="1" applyFont="1" applyFill="1" applyBorder="1" applyAlignment="1" applyProtection="1">
      <alignment horizontal="center" vertical="center" wrapText="1"/>
      <protection locked="0"/>
    </xf>
    <xf numFmtId="10" fontId="25" fillId="12" borderId="7" xfId="1" applyNumberFormat="1" applyFont="1" applyFill="1" applyBorder="1" applyAlignment="1">
      <alignment horizontal="center" vertical="center" wrapText="1"/>
    </xf>
    <xf numFmtId="10" fontId="24" fillId="12" borderId="7" xfId="1" applyNumberFormat="1" applyFont="1" applyFill="1" applyBorder="1" applyAlignment="1" applyProtection="1">
      <alignment horizontal="left" vertical="top" wrapText="1"/>
      <protection locked="0"/>
    </xf>
    <xf numFmtId="2" fontId="18" fillId="12" borderId="1" xfId="0" applyNumberFormat="1" applyFont="1" applyFill="1" applyBorder="1" applyAlignment="1">
      <alignment horizontal="center" vertical="center" wrapText="1"/>
    </xf>
    <xf numFmtId="10" fontId="18" fillId="12" borderId="1" xfId="1" applyNumberFormat="1" applyFont="1" applyFill="1" applyBorder="1" applyAlignment="1">
      <alignment horizontal="center" vertical="center" wrapText="1"/>
    </xf>
    <xf numFmtId="0" fontId="19" fillId="12" borderId="0" xfId="0" applyFont="1" applyFill="1" applyAlignment="1">
      <alignment horizontal="center"/>
    </xf>
    <xf numFmtId="10" fontId="18" fillId="12" borderId="1" xfId="1" applyNumberFormat="1" applyFont="1" applyFill="1" applyBorder="1" applyAlignment="1">
      <alignment horizontal="left" vertical="top" wrapText="1"/>
    </xf>
    <xf numFmtId="0" fontId="15" fillId="12" borderId="0" xfId="0" applyFont="1" applyFill="1" applyAlignment="1">
      <alignment vertical="top"/>
    </xf>
    <xf numFmtId="0" fontId="15" fillId="12" borderId="0" xfId="0" applyFont="1" applyFill="1" applyAlignment="1">
      <alignment horizontal="center" vertical="top"/>
    </xf>
    <xf numFmtId="0" fontId="10" fillId="12" borderId="0" xfId="0" applyFont="1" applyFill="1" applyAlignment="1">
      <alignment horizontal="center" vertical="top"/>
    </xf>
    <xf numFmtId="0" fontId="10" fillId="12" borderId="0" xfId="0" applyFont="1" applyFill="1" applyAlignment="1">
      <alignment vertical="top" wrapText="1"/>
    </xf>
    <xf numFmtId="2" fontId="10" fillId="12" borderId="0" xfId="0" applyNumberFormat="1" applyFont="1" applyFill="1" applyAlignment="1">
      <alignment horizontal="center" vertical="center" wrapText="1"/>
    </xf>
    <xf numFmtId="0" fontId="10" fillId="12" borderId="0" xfId="0" applyFont="1" applyFill="1" applyAlignment="1">
      <alignment horizontal="left" vertical="top" wrapText="1"/>
    </xf>
    <xf numFmtId="0" fontId="10" fillId="12" borderId="0" xfId="0" applyFont="1" applyFill="1" applyAlignment="1">
      <alignment horizontal="center" vertical="center"/>
    </xf>
    <xf numFmtId="10" fontId="10" fillId="12" borderId="0" xfId="1" applyNumberFormat="1" applyFont="1" applyFill="1" applyAlignment="1">
      <alignment horizontal="center" vertical="center"/>
    </xf>
    <xf numFmtId="0" fontId="10" fillId="12" borderId="0" xfId="0" applyFont="1" applyFill="1"/>
    <xf numFmtId="0" fontId="36" fillId="12" borderId="0" xfId="0" applyFont="1" applyFill="1" applyAlignment="1">
      <alignment vertical="center" wrapText="1"/>
    </xf>
    <xf numFmtId="10" fontId="36" fillId="12" borderId="0" xfId="1" applyNumberFormat="1" applyFont="1" applyFill="1" applyAlignment="1">
      <alignment horizontal="center" vertical="center"/>
    </xf>
    <xf numFmtId="0" fontId="36" fillId="12" borderId="0" xfId="0" applyFont="1" applyFill="1" applyAlignment="1">
      <alignment horizontal="center" vertical="center" wrapText="1"/>
    </xf>
    <xf numFmtId="10" fontId="7" fillId="0" borderId="1" xfId="1" applyNumberFormat="1" applyFont="1" applyFill="1" applyBorder="1" applyAlignment="1" applyProtection="1">
      <alignment horizontal="left" vertical="top" wrapText="1"/>
      <protection locked="0"/>
    </xf>
    <xf numFmtId="10" fontId="0" fillId="12" borderId="0" xfId="1" applyNumberFormat="1" applyFont="1" applyFill="1" applyBorder="1" applyAlignment="1">
      <alignment horizontal="left" vertical="top" wrapText="1"/>
    </xf>
    <xf numFmtId="0" fontId="0" fillId="12" borderId="0" xfId="0" applyFill="1" applyAlignment="1">
      <alignment horizontal="left" vertical="top" wrapText="1"/>
    </xf>
    <xf numFmtId="10" fontId="10" fillId="12" borderId="0" xfId="1" applyNumberFormat="1" applyFont="1" applyFill="1" applyAlignment="1">
      <alignment horizontal="left" vertical="top" wrapText="1"/>
    </xf>
    <xf numFmtId="10" fontId="10" fillId="0" borderId="0" xfId="1" applyNumberFormat="1" applyFont="1" applyFill="1" applyAlignment="1">
      <alignment horizontal="left" vertical="top" wrapText="1"/>
    </xf>
    <xf numFmtId="2" fontId="34" fillId="11" borderId="1" xfId="37" applyNumberFormat="1" applyFont="1" applyFill="1" applyBorder="1" applyAlignment="1">
      <alignment horizontal="center" vertical="center" wrapText="1"/>
    </xf>
    <xf numFmtId="2" fontId="34" fillId="11" borderId="1" xfId="37" applyNumberFormat="1" applyFont="1" applyFill="1" applyBorder="1" applyAlignment="1" applyProtection="1">
      <alignment horizontal="center" vertical="center" wrapText="1"/>
      <protection locked="0"/>
    </xf>
    <xf numFmtId="10" fontId="14" fillId="11" borderId="1" xfId="1" applyNumberFormat="1" applyFont="1" applyFill="1" applyBorder="1" applyAlignment="1" applyProtection="1">
      <alignment horizontal="center" vertical="center" wrapText="1"/>
    </xf>
    <xf numFmtId="0" fontId="10" fillId="11" borderId="1" xfId="0" applyFont="1" applyFill="1" applyBorder="1" applyAlignment="1" applyProtection="1">
      <alignment horizontal="center" vertical="center"/>
      <protection locked="0"/>
    </xf>
    <xf numFmtId="2" fontId="9" fillId="11" borderId="1" xfId="0" applyNumberFormat="1" applyFont="1" applyFill="1" applyBorder="1" applyAlignment="1">
      <alignment horizontal="center" vertical="center" wrapText="1"/>
    </xf>
    <xf numFmtId="0" fontId="2" fillId="0" borderId="0" xfId="38" applyAlignment="1">
      <alignment wrapText="1"/>
    </xf>
    <xf numFmtId="0" fontId="2" fillId="0" borderId="0" xfId="38"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7" fillId="12" borderId="0" xfId="0" applyFont="1" applyFill="1" applyAlignment="1">
      <alignment vertical="top" wrapText="1"/>
    </xf>
    <xf numFmtId="2" fontId="32" fillId="12" borderId="0" xfId="37" applyNumberFormat="1" applyFill="1" applyAlignment="1" applyProtection="1">
      <alignment horizontal="center" vertical="top" wrapText="1"/>
      <protection locked="0"/>
    </xf>
    <xf numFmtId="0" fontId="2" fillId="0" borderId="0" xfId="38" applyFill="1" applyAlignment="1">
      <alignment vertical="top" wrapText="1"/>
    </xf>
    <xf numFmtId="0" fontId="7" fillId="0" borderId="0" xfId="1" applyNumberFormat="1" applyFont="1" applyFill="1" applyBorder="1" applyAlignment="1" applyProtection="1">
      <alignment horizontal="left" vertical="top" wrapText="1"/>
      <protection locked="0"/>
    </xf>
    <xf numFmtId="0" fontId="7" fillId="0" borderId="1" xfId="1" applyNumberFormat="1" applyFont="1" applyFill="1" applyBorder="1" applyAlignment="1" applyProtection="1">
      <alignment horizontal="left" vertical="top" wrapText="1"/>
      <protection locked="0"/>
    </xf>
    <xf numFmtId="0" fontId="41" fillId="0" borderId="0" xfId="38" applyNumberFormat="1" applyFont="1" applyFill="1" applyBorder="1" applyAlignment="1" applyProtection="1">
      <alignment horizontal="left" vertical="top" wrapText="1"/>
      <protection locked="0"/>
    </xf>
    <xf numFmtId="0" fontId="15" fillId="0" borderId="0" xfId="0" applyFont="1" applyAlignment="1">
      <alignment horizontal="right" vertical="top"/>
    </xf>
    <xf numFmtId="0" fontId="28" fillId="10" borderId="0" xfId="1" applyNumberFormat="1" applyFont="1" applyFill="1" applyBorder="1" applyAlignment="1">
      <alignment horizontal="center" vertical="center" wrapText="1"/>
    </xf>
    <xf numFmtId="0" fontId="5" fillId="0" borderId="0" xfId="1" applyNumberFormat="1" applyFont="1" applyFill="1" applyBorder="1" applyAlignment="1">
      <alignment horizontal="left" vertical="top" wrapText="1"/>
    </xf>
    <xf numFmtId="0" fontId="22" fillId="0" borderId="0" xfId="1" applyNumberFormat="1" applyFont="1" applyFill="1" applyBorder="1" applyAlignment="1">
      <alignment horizontal="left" vertical="top" wrapText="1"/>
    </xf>
    <xf numFmtId="0" fontId="20" fillId="0" borderId="0" xfId="1" applyNumberFormat="1" applyFont="1" applyFill="1" applyBorder="1" applyAlignment="1">
      <alignment horizontal="left" vertical="top" wrapText="1"/>
    </xf>
    <xf numFmtId="0" fontId="24" fillId="0" borderId="0" xfId="1" applyNumberFormat="1" applyFont="1" applyFill="1" applyBorder="1" applyAlignment="1">
      <alignment horizontal="left" vertical="top" wrapText="1"/>
    </xf>
    <xf numFmtId="0" fontId="9" fillId="0" borderId="0" xfId="1" applyNumberFormat="1" applyFont="1" applyFill="1" applyBorder="1" applyAlignment="1">
      <alignment horizontal="left" vertical="top" wrapText="1"/>
    </xf>
    <xf numFmtId="0" fontId="38" fillId="0" borderId="11" xfId="0" applyFont="1" applyBorder="1" applyAlignment="1">
      <alignment horizontal="left" vertical="center" wrapText="1"/>
    </xf>
    <xf numFmtId="0" fontId="38" fillId="0" borderId="12" xfId="0" applyFont="1" applyBorder="1" applyAlignment="1">
      <alignment horizontal="left" vertical="top" wrapText="1"/>
    </xf>
    <xf numFmtId="0" fontId="7" fillId="0" borderId="11" xfId="0" applyFont="1" applyBorder="1" applyAlignment="1">
      <alignment vertical="top" wrapText="1"/>
    </xf>
    <xf numFmtId="0" fontId="7" fillId="0" borderId="13" xfId="0" applyFont="1" applyBorder="1" applyAlignment="1">
      <alignment horizontal="left" vertical="top" wrapText="1"/>
    </xf>
    <xf numFmtId="0" fontId="7" fillId="0" borderId="11" xfId="0" applyFont="1" applyBorder="1" applyAlignment="1">
      <alignment horizontal="left" vertical="top" wrapText="1"/>
    </xf>
    <xf numFmtId="0" fontId="40" fillId="0" borderId="11" xfId="0" applyFont="1" applyBorder="1" applyAlignment="1">
      <alignment vertical="top" wrapText="1"/>
    </xf>
    <xf numFmtId="0" fontId="7" fillId="0" borderId="12" xfId="0" applyFont="1" applyBorder="1" applyAlignment="1">
      <alignment horizontal="left" vertical="top" wrapText="1"/>
    </xf>
    <xf numFmtId="0" fontId="10" fillId="0" borderId="11" xfId="0" applyFont="1" applyBorder="1" applyAlignment="1">
      <alignment horizontal="left" vertical="top" wrapText="1"/>
    </xf>
    <xf numFmtId="0" fontId="38" fillId="0" borderId="11" xfId="0" applyFont="1" applyBorder="1" applyAlignment="1">
      <alignment horizontal="left" vertical="top" wrapText="1"/>
    </xf>
    <xf numFmtId="0" fontId="38" fillId="0" borderId="11" xfId="0" applyFont="1" applyBorder="1" applyAlignment="1">
      <alignment vertical="top" wrapText="1"/>
    </xf>
    <xf numFmtId="0" fontId="39" fillId="0" borderId="12" xfId="0" applyFont="1" applyBorder="1" applyAlignment="1">
      <alignment horizontal="center" vertical="top" wrapText="1"/>
    </xf>
    <xf numFmtId="0" fontId="38" fillId="0" borderId="1" xfId="0" applyFont="1" applyBorder="1" applyAlignment="1">
      <alignment horizontal="left" vertical="top" wrapText="1"/>
    </xf>
    <xf numFmtId="0" fontId="39" fillId="0" borderId="1" xfId="0" applyFont="1" applyBorder="1" applyAlignment="1">
      <alignment horizontal="center" vertical="top" wrapText="1"/>
    </xf>
    <xf numFmtId="0" fontId="24" fillId="0" borderId="1" xfId="1" applyNumberFormat="1" applyFont="1" applyFill="1" applyBorder="1" applyAlignment="1">
      <alignment horizontal="left" vertical="top" wrapText="1"/>
    </xf>
    <xf numFmtId="0" fontId="9" fillId="0" borderId="1" xfId="1" applyNumberFormat="1" applyFont="1" applyFill="1" applyBorder="1" applyAlignment="1">
      <alignment horizontal="left" vertical="top" wrapText="1"/>
    </xf>
    <xf numFmtId="0" fontId="7" fillId="12" borderId="0" xfId="1" applyNumberFormat="1" applyFont="1" applyFill="1" applyBorder="1" applyAlignment="1" applyProtection="1">
      <alignment horizontal="left" vertical="top" wrapText="1"/>
      <protection locked="0"/>
    </xf>
    <xf numFmtId="0" fontId="9" fillId="12" borderId="0" xfId="1" applyNumberFormat="1" applyFont="1" applyFill="1" applyBorder="1" applyAlignment="1">
      <alignment horizontal="left" vertical="top" wrapText="1"/>
    </xf>
    <xf numFmtId="0" fontId="24" fillId="12" borderId="0" xfId="1" applyNumberFormat="1" applyFont="1" applyFill="1" applyBorder="1" applyAlignment="1">
      <alignment horizontal="left" vertical="top" wrapText="1"/>
    </xf>
    <xf numFmtId="0" fontId="9" fillId="12" borderId="0" xfId="1" applyNumberFormat="1" applyFont="1" applyFill="1" applyBorder="1" applyAlignment="1" applyProtection="1">
      <alignment horizontal="center" vertical="top" wrapText="1"/>
      <protection locked="0"/>
    </xf>
    <xf numFmtId="0" fontId="37" fillId="12" borderId="0" xfId="37" applyFont="1" applyFill="1" applyAlignment="1">
      <alignment horizontal="left" vertical="top" wrapText="1"/>
    </xf>
    <xf numFmtId="0" fontId="32" fillId="12" borderId="0" xfId="37" applyFill="1" applyAlignment="1" applyProtection="1">
      <alignment horizontal="center" vertical="center" wrapText="1"/>
      <protection locked="0"/>
    </xf>
    <xf numFmtId="0" fontId="32" fillId="12" borderId="0" xfId="37" applyFill="1" applyAlignment="1" applyProtection="1">
      <alignment horizontal="left" vertical="top" wrapText="1"/>
      <protection locked="0"/>
    </xf>
    <xf numFmtId="0" fontId="22" fillId="12" borderId="0" xfId="1" applyNumberFormat="1" applyFont="1" applyFill="1" applyBorder="1" applyAlignment="1">
      <alignment horizontal="left" vertical="top" wrapText="1"/>
    </xf>
    <xf numFmtId="0" fontId="0" fillId="12" borderId="0" xfId="1" applyNumberFormat="1" applyFont="1" applyFill="1" applyBorder="1" applyAlignment="1">
      <alignment horizontal="left" vertical="top" wrapText="1"/>
    </xf>
    <xf numFmtId="0" fontId="20" fillId="12" borderId="0" xfId="1" applyNumberFormat="1" applyFont="1" applyFill="1" applyBorder="1" applyAlignment="1">
      <alignment horizontal="left" vertical="top" wrapText="1"/>
    </xf>
    <xf numFmtId="0" fontId="24" fillId="12" borderId="0" xfId="1" applyNumberFormat="1" applyFont="1" applyFill="1" applyBorder="1" applyAlignment="1" applyProtection="1">
      <alignment horizontal="left" vertical="top" wrapText="1"/>
      <protection locked="0"/>
    </xf>
    <xf numFmtId="0" fontId="18" fillId="12" borderId="0" xfId="1" applyNumberFormat="1" applyFont="1" applyFill="1" applyBorder="1" applyAlignment="1">
      <alignment horizontal="left" vertical="top" wrapText="1"/>
    </xf>
    <xf numFmtId="0" fontId="10" fillId="12" borderId="0" xfId="1" applyNumberFormat="1" applyFont="1" applyFill="1" applyAlignment="1">
      <alignment horizontal="left" vertical="top" wrapText="1"/>
    </xf>
    <xf numFmtId="0" fontId="10" fillId="0" borderId="0" xfId="1" applyNumberFormat="1" applyFont="1" applyFill="1" applyAlignment="1">
      <alignment horizontal="left" vertical="top" wrapText="1"/>
    </xf>
    <xf numFmtId="0" fontId="20" fillId="12" borderId="1" xfId="0" applyFont="1" applyFill="1" applyBorder="1" applyAlignment="1">
      <alignment horizontal="left" vertical="top" wrapText="1"/>
    </xf>
    <xf numFmtId="0" fontId="7" fillId="12" borderId="1" xfId="0" applyFont="1" applyFill="1" applyBorder="1" applyAlignment="1">
      <alignment horizontal="left" vertical="top" wrapText="1"/>
    </xf>
    <xf numFmtId="0" fontId="9" fillId="12" borderId="6" xfId="0" applyFont="1" applyFill="1" applyBorder="1" applyAlignment="1">
      <alignment horizontal="left" vertical="top" wrapText="1"/>
    </xf>
    <xf numFmtId="0" fontId="9" fillId="12" borderId="2" xfId="0" applyFont="1" applyFill="1" applyBorder="1" applyAlignment="1">
      <alignment horizontal="left" vertical="top" wrapText="1"/>
    </xf>
    <xf numFmtId="0" fontId="23" fillId="12" borderId="1" xfId="0" applyFont="1" applyFill="1" applyBorder="1" applyAlignment="1">
      <alignment horizontal="center" vertical="top" wrapText="1"/>
    </xf>
    <xf numFmtId="0" fontId="23" fillId="12" borderId="1" xfId="0" applyFont="1" applyFill="1" applyBorder="1" applyAlignment="1">
      <alignment horizontal="left" vertical="top" wrapText="1"/>
    </xf>
    <xf numFmtId="0" fontId="36" fillId="12" borderId="0" xfId="0" applyFont="1" applyFill="1" applyAlignment="1">
      <alignment horizontal="center" vertical="center"/>
    </xf>
    <xf numFmtId="0" fontId="7" fillId="12" borderId="7" xfId="0" applyFont="1" applyFill="1" applyBorder="1" applyAlignment="1">
      <alignment horizontal="left" vertical="top" wrapText="1"/>
    </xf>
    <xf numFmtId="0" fontId="22" fillId="12" borderId="1" xfId="0" applyFont="1" applyFill="1" applyBorder="1" applyAlignment="1">
      <alignment horizontal="center" vertical="top" wrapText="1"/>
    </xf>
    <xf numFmtId="0" fontId="18" fillId="12" borderId="1" xfId="0" applyFont="1" applyFill="1" applyBorder="1" applyAlignment="1">
      <alignment horizontal="center" vertical="center" wrapText="1"/>
    </xf>
    <xf numFmtId="0" fontId="36" fillId="12" borderId="0" xfId="0" applyFont="1" applyFill="1" applyAlignment="1">
      <alignment horizontal="left" vertical="top" wrapText="1"/>
    </xf>
    <xf numFmtId="0" fontId="9" fillId="12" borderId="1" xfId="0" applyFont="1" applyFill="1" applyBorder="1" applyAlignment="1">
      <alignment horizontal="left" vertical="top" wrapText="1"/>
    </xf>
    <xf numFmtId="0" fontId="35" fillId="12" borderId="6" xfId="37" applyFont="1" applyFill="1" applyBorder="1" applyAlignment="1">
      <alignment horizontal="left" vertical="top" wrapText="1"/>
    </xf>
    <xf numFmtId="0" fontId="35" fillId="12" borderId="2" xfId="37" applyFont="1" applyFill="1" applyBorder="1" applyAlignment="1">
      <alignment horizontal="left" vertical="top" wrapText="1"/>
    </xf>
    <xf numFmtId="0" fontId="33" fillId="12" borderId="6" xfId="37" applyFont="1" applyFill="1" applyBorder="1" applyAlignment="1">
      <alignment horizontal="left" vertical="top" wrapText="1"/>
    </xf>
    <xf numFmtId="0" fontId="33" fillId="12" borderId="2" xfId="37" applyFont="1" applyFill="1" applyBorder="1" applyAlignment="1">
      <alignment horizontal="left" vertical="top" wrapText="1"/>
    </xf>
    <xf numFmtId="0" fontId="9" fillId="0" borderId="1" xfId="0" applyFont="1" applyBorder="1" applyAlignment="1">
      <alignment horizontal="left" vertical="top" wrapText="1"/>
    </xf>
    <xf numFmtId="0" fontId="20" fillId="0" borderId="1" xfId="0" applyFont="1" applyBorder="1" applyAlignment="1">
      <alignment horizontal="left" vertical="top" wrapText="1"/>
    </xf>
    <xf numFmtId="0" fontId="12" fillId="0" borderId="1" xfId="0" applyFont="1" applyBorder="1" applyAlignment="1">
      <alignment horizontal="left" vertical="top" wrapText="1"/>
    </xf>
    <xf numFmtId="0" fontId="28" fillId="10" borderId="1" xfId="0" applyFont="1" applyFill="1" applyBorder="1" applyAlignment="1">
      <alignment horizontal="center" vertical="center" wrapText="1"/>
    </xf>
    <xf numFmtId="0" fontId="23" fillId="0" borderId="1" xfId="0" applyFont="1" applyBorder="1" applyAlignment="1">
      <alignment horizontal="left" vertical="top" wrapText="1"/>
    </xf>
    <xf numFmtId="0" fontId="15" fillId="0" borderId="0" xfId="0" applyFont="1" applyAlignment="1">
      <alignment horizontal="center" vertical="top" wrapText="1"/>
    </xf>
    <xf numFmtId="0" fontId="15" fillId="0" borderId="0" xfId="0" applyFont="1" applyAlignment="1">
      <alignment horizontal="center" vertical="top"/>
    </xf>
    <xf numFmtId="0" fontId="18" fillId="4"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7"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23" fillId="7" borderId="1" xfId="0" applyFont="1" applyFill="1" applyBorder="1" applyAlignment="1">
      <alignment horizontal="center" vertical="top" wrapText="1"/>
    </xf>
    <xf numFmtId="0" fontId="23" fillId="7" borderId="1" xfId="0" applyFont="1" applyFill="1" applyBorder="1" applyAlignment="1">
      <alignment horizontal="left" vertical="top" wrapText="1"/>
    </xf>
    <xf numFmtId="0" fontId="22" fillId="3" borderId="1" xfId="0" applyFont="1" applyFill="1" applyBorder="1" applyAlignment="1">
      <alignment horizontal="center" vertical="top" wrapText="1"/>
    </xf>
    <xf numFmtId="0" fontId="28" fillId="4" borderId="1" xfId="0" applyFont="1" applyFill="1" applyBorder="1" applyAlignment="1">
      <alignment horizontal="center" vertical="center" wrapText="1"/>
    </xf>
    <xf numFmtId="0" fontId="9" fillId="8" borderId="1" xfId="0" applyFont="1" applyFill="1" applyBorder="1" applyAlignment="1">
      <alignment horizontal="left" vertical="top" wrapText="1"/>
    </xf>
    <xf numFmtId="0" fontId="11" fillId="0" borderId="1" xfId="0" applyFont="1" applyBorder="1" applyAlignment="1">
      <alignment horizontal="left" vertical="top" wrapText="1"/>
    </xf>
  </cellXfs>
  <cellStyles count="39">
    <cellStyle name="Comma [0]" xfId="36" builtinId="6"/>
    <cellStyle name="Followed Hyperlink" xfId="33" builtinId="9" hidden="1"/>
    <cellStyle name="Followed Hyperlink" xfId="1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5" builtinId="9" hidden="1"/>
    <cellStyle name="Followed Hyperlink" xfId="3" builtinId="9" hidden="1"/>
    <cellStyle name="Followed Hyperlink" xfId="7" builtinId="9" hidden="1"/>
    <cellStyle name="Followed Hyperlink" xfId="35"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21" builtinId="9" hidden="1"/>
    <cellStyle name="Followed Hyperlink" xfId="23" builtinId="9" hidden="1"/>
    <cellStyle name="Followed Hyperlink" xfId="19" builtinId="9" hidden="1"/>
    <cellStyle name="Hyperlink" xfId="12" builtinId="8" hidden="1"/>
    <cellStyle name="Hyperlink" xfId="14" builtinId="8" hidden="1"/>
    <cellStyle name="Hyperlink" xfId="18" builtinId="8" hidden="1"/>
    <cellStyle name="Hyperlink" xfId="8" builtinId="8" hidden="1"/>
    <cellStyle name="Hyperlink" xfId="4" builtinId="8" hidden="1"/>
    <cellStyle name="Hyperlink" xfId="2" builtinId="8" hidden="1"/>
    <cellStyle name="Hyperlink" xfId="6" builtinId="8" hidden="1"/>
    <cellStyle name="Hyperlink" xfId="16" builtinId="8" hidden="1"/>
    <cellStyle name="Hyperlink" xfId="30" builtinId="8" hidden="1"/>
    <cellStyle name="Hyperlink" xfId="34" builtinId="8" hidden="1"/>
    <cellStyle name="Hyperlink" xfId="32" builtinId="8" hidden="1"/>
    <cellStyle name="Hyperlink" xfId="24" builtinId="8" hidden="1"/>
    <cellStyle name="Hyperlink" xfId="10" builtinId="8" hidden="1"/>
    <cellStyle name="Hyperlink" xfId="28" builtinId="8" hidden="1"/>
    <cellStyle name="Hyperlink" xfId="22" builtinId="8" hidden="1"/>
    <cellStyle name="Hyperlink" xfId="26" builtinId="8" hidden="1"/>
    <cellStyle name="Hyperlink" xfId="20" builtinId="8" hidden="1"/>
    <cellStyle name="Hyperlink" xfId="38" builtinId="8"/>
    <cellStyle name="Normal" xfId="0" builtinId="0"/>
    <cellStyle name="Normal 3" xfId="37" xr:uid="{00000000-0005-0000-0000-000025000000}"/>
    <cellStyle name="Percent" xfId="1" builtinId="5"/>
  </cellStyles>
  <dxfs count="0"/>
  <tableStyles count="0" defaultTableStyle="TableStyleMedium2" defaultPivotStyle="PivotStyleLight16"/>
  <colors>
    <mruColors>
      <color rgb="FFD6DCE4"/>
      <color rgb="FF8497AF"/>
      <color rgb="FF8CB5E2"/>
      <color rgb="FFFFF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js6PzFyXO42x_pOxfLRQKp0gx5mpuawW/view?usp=sharing" TargetMode="External"/><Relationship Id="rId21" Type="http://schemas.openxmlformats.org/officeDocument/2006/relationships/hyperlink" Target="https://drive.google.com/file/d/1VmX2d7HMXFkxcsXsTmdrEk9nO4Ot1yA0/view?usp=sharing" TargetMode="External"/><Relationship Id="rId42" Type="http://schemas.openxmlformats.org/officeDocument/2006/relationships/hyperlink" Target="https://drive.google.com/file/d/1VkPbOPrs1VbXza7SdOMjR-RvNiZjilkI/view?usp=sharing" TargetMode="External"/><Relationship Id="rId47" Type="http://schemas.openxmlformats.org/officeDocument/2006/relationships/hyperlink" Target="https://drive.google.com/file/d/1lL0Ksw7x9FBY3CZq5121NcI3Kg5LPQmr/view?usp=sharing" TargetMode="External"/><Relationship Id="rId63" Type="http://schemas.openxmlformats.org/officeDocument/2006/relationships/hyperlink" Target="https://drive.google.com/file/d/1QCMJhFh6Sshu6mW-JAJTNfNhkjEs96LW/view?usp=sharing" TargetMode="External"/><Relationship Id="rId68" Type="http://schemas.openxmlformats.org/officeDocument/2006/relationships/hyperlink" Target="https://drive.google.com/file/d/1Hzqruc6WfaZHwmpUXn6C5zXx4X8TFZ5E/view?usp=sharing" TargetMode="External"/><Relationship Id="rId84" Type="http://schemas.openxmlformats.org/officeDocument/2006/relationships/printerSettings" Target="../printerSettings/printerSettings3.bin"/><Relationship Id="rId16" Type="http://schemas.openxmlformats.org/officeDocument/2006/relationships/hyperlink" Target="https://drive.google.com/file/d/193_3HPVL7unEsvcgIllrsNCqd7xTAmOz/view?usp=sharing" TargetMode="External"/><Relationship Id="rId11" Type="http://schemas.openxmlformats.org/officeDocument/2006/relationships/hyperlink" Target="https://drive.google.com/file/d/1Pk9lyRM2lsnffDQQePOG1QvoRlPGhRS3/view?usp=sharing" TargetMode="External"/><Relationship Id="rId32" Type="http://schemas.openxmlformats.org/officeDocument/2006/relationships/hyperlink" Target="https://drive.google.com/file/d/1SCIHAoeKAP2GICc6uVTg_HipgKnuMM4U/view?usp=sharing" TargetMode="External"/><Relationship Id="rId37" Type="http://schemas.openxmlformats.org/officeDocument/2006/relationships/hyperlink" Target="https://drive.google.com/file/d/14OsMZ_RKfAAZkmwaxPaI_Hv5D2V4eqeu/view?usp=sharing" TargetMode="External"/><Relationship Id="rId53" Type="http://schemas.openxmlformats.org/officeDocument/2006/relationships/hyperlink" Target="https://drive.google.com/file/d/1ZRfe52H01bXeh_e9NmHlt6ec_g3M734V/view?usp=sharing" TargetMode="External"/><Relationship Id="rId58" Type="http://schemas.openxmlformats.org/officeDocument/2006/relationships/hyperlink" Target="https://drive.google.com/file/d/1iU_0gcqxjirCDV9Cq2coMZkpKvnA6UK6/view?usp=sharing" TargetMode="External"/><Relationship Id="rId74" Type="http://schemas.openxmlformats.org/officeDocument/2006/relationships/hyperlink" Target="https://drive.google.com/file/d/1iAh9zIXBI_Xx1OGrj3uxZsGYmEpD2Fbk/view?usp=sharing" TargetMode="External"/><Relationship Id="rId79" Type="http://schemas.openxmlformats.org/officeDocument/2006/relationships/hyperlink" Target="https://drive.google.com/file/d/1lyTuht7JfN448Dm-tTLuxruZ3TgDPTW_/view?usp=sharing" TargetMode="External"/><Relationship Id="rId5" Type="http://schemas.openxmlformats.org/officeDocument/2006/relationships/hyperlink" Target="https://drive.google.com/file/d/1_4OGKoPrUi5Laj1hWhAXY4v0VOpet3ti/view?usp=sharing" TargetMode="External"/><Relationship Id="rId61" Type="http://schemas.openxmlformats.org/officeDocument/2006/relationships/hyperlink" Target="https://drive.google.com/file/d/1czZp2Z5zgxcev4BzpsGL7-VlliwvOsth/view?usp=sharing" TargetMode="External"/><Relationship Id="rId82" Type="http://schemas.openxmlformats.org/officeDocument/2006/relationships/hyperlink" Target="https://drive.google.com/file/d/1rfKgFcJHrRQXH--LbX9d76e1n64DqpMv/view?usp=sharing" TargetMode="External"/><Relationship Id="rId19" Type="http://schemas.openxmlformats.org/officeDocument/2006/relationships/hyperlink" Target="https://drive.google.com/file/d/1DWCCZzPOlvAvyKA8pS9Rmt7pOoQ2MG2b/view?usp=sharing" TargetMode="External"/><Relationship Id="rId14" Type="http://schemas.openxmlformats.org/officeDocument/2006/relationships/hyperlink" Target="https://drive.google.com/file/d/1Q5DaCH36SDy-Y94LWhCaHuiFz56_QZms/view?usp=sharing" TargetMode="External"/><Relationship Id="rId22" Type="http://schemas.openxmlformats.org/officeDocument/2006/relationships/hyperlink" Target="https://drive.google.com/file/d/1_954RTtxQgZNOQDE3fyCOqkuKerIAr9y/view?usp=sharing" TargetMode="External"/><Relationship Id="rId27" Type="http://schemas.openxmlformats.org/officeDocument/2006/relationships/hyperlink" Target="https://drive.google.com/file/d/1js6PzFyXO42x_pOxfLRQKp0gx5mpuawW/view?usp=sharing" TargetMode="External"/><Relationship Id="rId30" Type="http://schemas.openxmlformats.org/officeDocument/2006/relationships/hyperlink" Target="https://drive.google.com/file/d/1HgWUPMunzFL335v2ZclgJbn0k4ZYHIPu/view?usp=sharing" TargetMode="External"/><Relationship Id="rId35" Type="http://schemas.openxmlformats.org/officeDocument/2006/relationships/hyperlink" Target="https://drive.google.com/file/d/1-7Ofx2yEs4VZm4cYXg6JuV7IZlKuaFav/view?usp=sharing" TargetMode="External"/><Relationship Id="rId43" Type="http://schemas.openxmlformats.org/officeDocument/2006/relationships/hyperlink" Target="https://drive.google.com/file/d/1Sg_qloH9x-iAg0cYrIGpyoHGF61JNTf0/view?usp=sharing" TargetMode="External"/><Relationship Id="rId48" Type="http://schemas.openxmlformats.org/officeDocument/2006/relationships/hyperlink" Target="https://drive.google.com/file/d/1hIIE-s9u_B__mt3TnDtcqyahF6ETaqOm/view?usp=sharing" TargetMode="External"/><Relationship Id="rId56" Type="http://schemas.openxmlformats.org/officeDocument/2006/relationships/hyperlink" Target="https://drive.google.com/file/d/1XiI6swq130SYBOnfNPQvTKZ1bR9akk3_/view?usp=sharing" TargetMode="External"/><Relationship Id="rId64" Type="http://schemas.openxmlformats.org/officeDocument/2006/relationships/hyperlink" Target="https://drive.google.com/file/d/1_hJpMIwXoZwV8Y_7tGamuNnVdExy1UUa/view?usp=sharing" TargetMode="External"/><Relationship Id="rId69" Type="http://schemas.openxmlformats.org/officeDocument/2006/relationships/hyperlink" Target="https://drive.google.com/file/d/1FOzzNYiuTELqa1JvnvqBt3rmWVyUc-lY/view?usp=sharing" TargetMode="External"/><Relationship Id="rId77" Type="http://schemas.openxmlformats.org/officeDocument/2006/relationships/hyperlink" Target="https://drive.google.com/file/d/1kxGDMd8zJAng01yg3oZEYTNnNILcQlKJ/view?usp=sharing" TargetMode="External"/><Relationship Id="rId8" Type="http://schemas.openxmlformats.org/officeDocument/2006/relationships/hyperlink" Target="https://drive.google.com/file/d/1XhGimsMS4SfVNhkVOJq1WQEtDNvLszfa/view?usp=sharing" TargetMode="External"/><Relationship Id="rId51" Type="http://schemas.openxmlformats.org/officeDocument/2006/relationships/hyperlink" Target="https://drive.google.com/file/d/1XUd9Tr3rKxpyfJZLISjibA42lOgEDDYl/view?usp=sharing" TargetMode="External"/><Relationship Id="rId72" Type="http://schemas.openxmlformats.org/officeDocument/2006/relationships/hyperlink" Target="https://drive.google.com/file/d/1KFIWvj_Q98G_OCTQTQS8-e3R_U4HAJtH/view?usp=sharing" TargetMode="External"/><Relationship Id="rId80" Type="http://schemas.openxmlformats.org/officeDocument/2006/relationships/hyperlink" Target="https://drive.google.com/file/d/1ChQj4wEmXBx0MOc-64CGaWnGMKlS8fUi/view?usp=sharing" TargetMode="External"/><Relationship Id="rId3" Type="http://schemas.openxmlformats.org/officeDocument/2006/relationships/hyperlink" Target="https://drive.google.com/file/d/1TwFqoqSayFNuY4o1iMZBDMTM9ncdiDxF/view?usp=sharing" TargetMode="External"/><Relationship Id="rId12" Type="http://schemas.openxmlformats.org/officeDocument/2006/relationships/hyperlink" Target="https://drive.google.com/file/d/1IUCd84R6YdIqlaY5sc0tj8-c_TuhpV1V/view?usp=sharing" TargetMode="External"/><Relationship Id="rId17" Type="http://schemas.openxmlformats.org/officeDocument/2006/relationships/hyperlink" Target="https://drive.google.com/file/d/1oaKASL3ephvCVaaU-OJcmrI2jsPyvU96/view?usp=sharing" TargetMode="External"/><Relationship Id="rId25" Type="http://schemas.openxmlformats.org/officeDocument/2006/relationships/hyperlink" Target="https://drive.google.com/file/d/1qgeTUfft4mvMVwzNUx2TqB6pE2Lbd40a/view?usp=sharing" TargetMode="External"/><Relationship Id="rId33" Type="http://schemas.openxmlformats.org/officeDocument/2006/relationships/hyperlink" Target="https://drive.google.com/file/d/1iejEAeB4E7ZdpiNfyOdlTchd0yqDTjOI/view?usp=sharing" TargetMode="External"/><Relationship Id="rId38" Type="http://schemas.openxmlformats.org/officeDocument/2006/relationships/hyperlink" Target="https://drive.google.com/file/d/1ZXT-aEtgZ-NFCSEoShCQL168KCrqNVjt/view?usp=sharing" TargetMode="External"/><Relationship Id="rId46" Type="http://schemas.openxmlformats.org/officeDocument/2006/relationships/hyperlink" Target="https://drive.google.com/file/d/1Ss0mztQVhp0S04kzQYsMJbVweUTZfDEH/view?usp=sharing" TargetMode="External"/><Relationship Id="rId59" Type="http://schemas.openxmlformats.org/officeDocument/2006/relationships/hyperlink" Target="https://drive.google.com/file/d/1vLnioOlj0mM9dwdmqkBCpJ8c-FR7MISb/view?usp=sharing" TargetMode="External"/><Relationship Id="rId67" Type="http://schemas.openxmlformats.org/officeDocument/2006/relationships/hyperlink" Target="https://drive.google.com/file/d/1ZRBkGXB7iMvgm4F0mM2W7rsG_d2H1hqa/view?usp=sharing" TargetMode="External"/><Relationship Id="rId20" Type="http://schemas.openxmlformats.org/officeDocument/2006/relationships/hyperlink" Target="https://drive.google.com/file/d/1YJk6v_MM-daEfPZZGiUOEVP8vXCnxl8h/view?usp=sharing" TargetMode="External"/><Relationship Id="rId41" Type="http://schemas.openxmlformats.org/officeDocument/2006/relationships/hyperlink" Target="https://drive.google.com/file/d/1MTTQLASbBGlRxRODQq1Epsvkxc2vEfAc/view?usp=sharing" TargetMode="External"/><Relationship Id="rId54" Type="http://schemas.openxmlformats.org/officeDocument/2006/relationships/hyperlink" Target="https://drive.google.com/file/d/1Csyzd08lB3YoMq__g3GqP5I36ZoV4WSu/view?usp=sharing" TargetMode="External"/><Relationship Id="rId62" Type="http://schemas.openxmlformats.org/officeDocument/2006/relationships/hyperlink" Target="https://drive.google.com/file/d/1pXcuM0nBvBXDwbemQXCpyWVgyivAS39V/view?usp=sharing" TargetMode="External"/><Relationship Id="rId70" Type="http://schemas.openxmlformats.org/officeDocument/2006/relationships/hyperlink" Target="https://drive.google.com/file/d/1UmJ3f5Y6G02YEe300UWoR9z3UkNckT3B/view?usp=sharing" TargetMode="External"/><Relationship Id="rId75" Type="http://schemas.openxmlformats.org/officeDocument/2006/relationships/hyperlink" Target="https://drive.google.com/file/d/1jYeDPTVe1pAal1uGdxC_HArLnNHVBqkl/view?usp=sharing" TargetMode="External"/><Relationship Id="rId83" Type="http://schemas.openxmlformats.org/officeDocument/2006/relationships/hyperlink" Target="https://e-sakip.tangerangselatankota.go.id/" TargetMode="External"/><Relationship Id="rId1" Type="http://schemas.openxmlformats.org/officeDocument/2006/relationships/hyperlink" Target="https://drive.google.com/file/d/1omnG2oCSUxHTmbuqni3NP5nQ3QBYK2K_/view?usp=sharing" TargetMode="External"/><Relationship Id="rId6" Type="http://schemas.openxmlformats.org/officeDocument/2006/relationships/hyperlink" Target="https://drive.google.com/file/d/1HekPn9Wp1yGyH52MthBnjRXJ5G8rrjjk/view?usp=sharing" TargetMode="External"/><Relationship Id="rId15" Type="http://schemas.openxmlformats.org/officeDocument/2006/relationships/hyperlink" Target="https://drive.google.com/file/d/10GTgwV_RZgYJuOHrJ-ThFUNENC2_JO1s/view?usp=sharing" TargetMode="External"/><Relationship Id="rId23" Type="http://schemas.openxmlformats.org/officeDocument/2006/relationships/hyperlink" Target="https://drive.google.com/file/d/1iDAubPQFRbj6GsJ2I1cw1-hgeVxLfdaU/view?usp=sharing" TargetMode="External"/><Relationship Id="rId28" Type="http://schemas.openxmlformats.org/officeDocument/2006/relationships/hyperlink" Target="https://drive.google.com/file/d/1l5WBcXfcURsADlL3JwVRi60u8E9x3FJM/view?usp=sharing" TargetMode="External"/><Relationship Id="rId36" Type="http://schemas.openxmlformats.org/officeDocument/2006/relationships/hyperlink" Target="https://drive.google.com/file/d/19T-_vQ2pf9uChHlzK5TgiDdD-htM9IVU/view?usp=sharing" TargetMode="External"/><Relationship Id="rId49" Type="http://schemas.openxmlformats.org/officeDocument/2006/relationships/hyperlink" Target="https://drive.google.com/file/d/1LuHf1lje915ecj274Q7Qcy1YZUM_iF8j/view?usp=sharing" TargetMode="External"/><Relationship Id="rId57" Type="http://schemas.openxmlformats.org/officeDocument/2006/relationships/hyperlink" Target="https://drive.google.com/file/d/1UV6RleEI2xscLpdlJWoRaV8qkm-dYFqt/view?usp=sharing" TargetMode="External"/><Relationship Id="rId10" Type="http://schemas.openxmlformats.org/officeDocument/2006/relationships/hyperlink" Target="https://drive.google.com/file/d/1Fu69qS-atzRyolutwy3Z1mDgdbd4KJr-/view?usp=sharing" TargetMode="External"/><Relationship Id="rId31" Type="http://schemas.openxmlformats.org/officeDocument/2006/relationships/hyperlink" Target="https://drive.google.com/file/d/1sfv05Gp89us1h43XiG5JkQYGTBaXFVwq/view?usp=sharing" TargetMode="External"/><Relationship Id="rId44" Type="http://schemas.openxmlformats.org/officeDocument/2006/relationships/hyperlink" Target="https://drive.google.com/file/d/1O54ziv9ZC7p8A28BFMzgwV9LS6OeXzjP/view?usp=sharing" TargetMode="External"/><Relationship Id="rId52" Type="http://schemas.openxmlformats.org/officeDocument/2006/relationships/hyperlink" Target="https://drive.google.com/file/d/1Zi67ZOi-m9BZSv_ptBa4JR4YUuIYJBDa/view?usp=sharing" TargetMode="External"/><Relationship Id="rId60" Type="http://schemas.openxmlformats.org/officeDocument/2006/relationships/hyperlink" Target="https://drive.google.com/file/d/1oq4saTKwFHy9I5nt0VDYQ6KmlYxFg6YS/view?usp=sharing" TargetMode="External"/><Relationship Id="rId65" Type="http://schemas.openxmlformats.org/officeDocument/2006/relationships/hyperlink" Target="https://drive.google.com/file/d/1Mf8A0Je2TNlKqf4yWbHmvGIGo4joxGwG/view?usp=sharing" TargetMode="External"/><Relationship Id="rId73" Type="http://schemas.openxmlformats.org/officeDocument/2006/relationships/hyperlink" Target="https://drive.google.com/file/d/1limA4IEf3WiiwGO8RW03iC-kmDExpEwK/view?usp=sharing" TargetMode="External"/><Relationship Id="rId78" Type="http://schemas.openxmlformats.org/officeDocument/2006/relationships/hyperlink" Target="https://drive.google.com/file/d/1_XgHk3SYmn589KU05ziQao-A8AS0Mbh4/view?usp=sharing" TargetMode="External"/><Relationship Id="rId81" Type="http://schemas.openxmlformats.org/officeDocument/2006/relationships/hyperlink" Target="https://drive.google.com/file/d/1Zu-e_vh46AKarvxKlJ3RqrRToPQ-O5wn/view?usp=sharing" TargetMode="External"/><Relationship Id="rId4" Type="http://schemas.openxmlformats.org/officeDocument/2006/relationships/hyperlink" Target="https://drive.google.com/file/d/1o5gJ4Gu4xzNNlaMdf1TOyyMUYPXUjk1o/view?usp=sharing" TargetMode="External"/><Relationship Id="rId9" Type="http://schemas.openxmlformats.org/officeDocument/2006/relationships/hyperlink" Target="https://drive.google.com/file/d/1LSnr5dM2kLdTAbxSdUP0cm0Nd_m8LJYW/view?usp=sharing" TargetMode="External"/><Relationship Id="rId13" Type="http://schemas.openxmlformats.org/officeDocument/2006/relationships/hyperlink" Target="https://drive.google.com/file/d/1g4nD6Quu5blCRYwS6lrONVLgdqK-swcO/view?usp=sharing" TargetMode="External"/><Relationship Id="rId18" Type="http://schemas.openxmlformats.org/officeDocument/2006/relationships/hyperlink" Target="https://drive.google.com/file/d/1pn_gbpTvW0EG-HgPJZQgga7I0Cz9wUYR/view?usp=sharing" TargetMode="External"/><Relationship Id="rId39" Type="http://schemas.openxmlformats.org/officeDocument/2006/relationships/hyperlink" Target="https://drive.google.com/file/d/13Z1BTcAACW-iGmVgXVXi-i8WRyO_YgD9/view?usp=sharing" TargetMode="External"/><Relationship Id="rId34" Type="http://schemas.openxmlformats.org/officeDocument/2006/relationships/hyperlink" Target="https://drive.google.com/file/d/1zHtF8hmMtyHypzS58NY4t5uIGHqWCAm2/view?usp=sharing" TargetMode="External"/><Relationship Id="rId50" Type="http://schemas.openxmlformats.org/officeDocument/2006/relationships/hyperlink" Target="https://drive.google.com/file/d/1GAeKeCFISirhGW9P5kpXcwdkiyG8mSYm/view?usp=sharing" TargetMode="External"/><Relationship Id="rId55" Type="http://schemas.openxmlformats.org/officeDocument/2006/relationships/hyperlink" Target="https://drive.google.com/file/d/11WybU7FiQdBm-8X25BzfVjma1Rdd5uOT/view?usp=sharing" TargetMode="External"/><Relationship Id="rId76" Type="http://schemas.openxmlformats.org/officeDocument/2006/relationships/hyperlink" Target="https://drive.google.com/file/d/1YznB2F4uIeyonidOjfGC4UOXrMAN8EKI/view?usp=sharing" TargetMode="External"/><Relationship Id="rId7" Type="http://schemas.openxmlformats.org/officeDocument/2006/relationships/hyperlink" Target="https://drive.google.com/file/d/1_kyluQji286ZMeB50QQ2O3HhgiMkVldR/view?usp=sharing" TargetMode="External"/><Relationship Id="rId71" Type="http://schemas.openxmlformats.org/officeDocument/2006/relationships/hyperlink" Target="https://drive.google.com/file/d/1o1sioaKwA_WddWma1Lyl9DVnHX9kCcWF/view?usp=sharing" TargetMode="External"/><Relationship Id="rId2" Type="http://schemas.openxmlformats.org/officeDocument/2006/relationships/hyperlink" Target="https://drive.google.com/file/d/1HLDMh-7I0LHmZZ2WRi__oSrFuIzObJaN/view?usp=sharing" TargetMode="External"/><Relationship Id="rId29" Type="http://schemas.openxmlformats.org/officeDocument/2006/relationships/hyperlink" Target="https://drive.google.com/file/d/1kiKwEjK5UQP01xnSNOF5vGKGvl4vBUhB/view?usp=sharing" TargetMode="External"/><Relationship Id="rId24" Type="http://schemas.openxmlformats.org/officeDocument/2006/relationships/hyperlink" Target="https://drive.google.com/file/d/1Wjwc63AVyuj-8jSC6I64dXwPeQQMUTbB/view?usp=sharing" TargetMode="External"/><Relationship Id="rId40" Type="http://schemas.openxmlformats.org/officeDocument/2006/relationships/hyperlink" Target="https://drive.google.com/file/d/1afArLZx5baHp1Gtaeivu6Czhg_NV8vgP/view?usp=sharing" TargetMode="External"/><Relationship Id="rId45" Type="http://schemas.openxmlformats.org/officeDocument/2006/relationships/hyperlink" Target="https://drive.google.com/file/d/1qmqTdSGv9O2KEQl30K2W6WYz7vmXAVyg/view?usp=sharing" TargetMode="External"/><Relationship Id="rId66" Type="http://schemas.openxmlformats.org/officeDocument/2006/relationships/hyperlink" Target="https://drive.google.com/file/d/1VFyDF1vDqMfnQh2hgNnPDVA97nghuNA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4"/>
  <sheetViews>
    <sheetView topLeftCell="B1" zoomScale="75" zoomScaleNormal="80" workbookViewId="0">
      <pane ySplit="2" topLeftCell="A3" activePane="bottomLeft" state="frozen"/>
      <selection activeCell="B1" sqref="B1"/>
      <selection pane="bottomLeft" activeCell="M19" sqref="M19"/>
    </sheetView>
  </sheetViews>
  <sheetFormatPr defaultColWidth="9.28515625" defaultRowHeight="15.75"/>
  <cols>
    <col min="1" max="1" width="6.140625" hidden="1" customWidth="1"/>
    <col min="2" max="2" width="4" style="32" bestFit="1" customWidth="1"/>
    <col min="3" max="3" width="4.28515625" style="32" bestFit="1" customWidth="1"/>
    <col min="4" max="4" width="3.42578125" style="32" bestFit="1" customWidth="1"/>
    <col min="5" max="5" width="4.42578125" style="33" customWidth="1"/>
    <col min="6" max="6" width="3.28515625" style="34" bestFit="1" customWidth="1"/>
    <col min="7" max="7" width="48.42578125" style="35" customWidth="1"/>
    <col min="8" max="8" width="12.28515625" style="58" customWidth="1"/>
    <col min="9" max="9" width="16.7109375" style="36" bestFit="1" customWidth="1"/>
    <col min="10" max="10" width="16.7109375" style="63" customWidth="1"/>
    <col min="11" max="11" width="5" style="4" customWidth="1"/>
    <col min="12" max="13" width="71.42578125" style="37" customWidth="1"/>
    <col min="14" max="16384" width="9.28515625" style="4"/>
  </cols>
  <sheetData>
    <row r="1" spans="1:13" s="73" customFormat="1" ht="21">
      <c r="A1" s="10">
        <v>1</v>
      </c>
      <c r="B1" s="334" t="s">
        <v>106</v>
      </c>
      <c r="C1" s="334"/>
      <c r="D1" s="334"/>
      <c r="E1" s="334"/>
      <c r="F1" s="334"/>
      <c r="G1" s="334"/>
      <c r="H1" s="69" t="s">
        <v>107</v>
      </c>
      <c r="I1" s="70" t="s">
        <v>21</v>
      </c>
      <c r="J1" s="71" t="s">
        <v>22</v>
      </c>
      <c r="K1" s="72"/>
      <c r="L1" s="71" t="s">
        <v>109</v>
      </c>
      <c r="M1" s="71" t="s">
        <v>139</v>
      </c>
    </row>
    <row r="2" spans="1:13" customFormat="1" ht="15">
      <c r="A2">
        <v>2</v>
      </c>
    </row>
    <row r="3" spans="1:13" s="15" customFormat="1" ht="36">
      <c r="A3">
        <v>3</v>
      </c>
      <c r="B3" s="16" t="s">
        <v>0</v>
      </c>
      <c r="C3" s="332" t="s">
        <v>105</v>
      </c>
      <c r="D3" s="332"/>
      <c r="E3" s="332"/>
      <c r="F3" s="332"/>
      <c r="G3" s="332"/>
      <c r="H3" s="55">
        <v>60</v>
      </c>
      <c r="I3" s="39">
        <f>'Ctt Eval'!I3</f>
        <v>55.576190476190476</v>
      </c>
      <c r="J3" s="59"/>
      <c r="L3" s="23"/>
      <c r="M3" s="23"/>
    </row>
    <row r="4" spans="1:13" s="14" customFormat="1" ht="18">
      <c r="A4">
        <v>4</v>
      </c>
      <c r="B4" s="17"/>
      <c r="C4" s="43" t="s">
        <v>1</v>
      </c>
      <c r="D4" s="330" t="s">
        <v>110</v>
      </c>
      <c r="E4" s="330"/>
      <c r="F4" s="330"/>
      <c r="G4" s="330"/>
      <c r="H4" s="44">
        <v>30</v>
      </c>
      <c r="I4" s="44">
        <f>'Ctt Eval'!I4</f>
        <v>30</v>
      </c>
      <c r="J4" s="60">
        <f t="shared" ref="J4:J17" si="0">I4/H4</f>
        <v>1</v>
      </c>
      <c r="L4" s="41"/>
      <c r="M4" s="41"/>
    </row>
    <row r="5" spans="1:13" s="9" customFormat="1">
      <c r="A5">
        <v>5</v>
      </c>
      <c r="B5" s="50"/>
      <c r="C5" s="51"/>
      <c r="D5" s="52" t="s">
        <v>14</v>
      </c>
      <c r="E5" s="329" t="s">
        <v>43</v>
      </c>
      <c r="F5" s="329"/>
      <c r="G5" s="329"/>
      <c r="H5" s="53">
        <v>4</v>
      </c>
      <c r="I5" s="53">
        <f>'Ctt Eval'!I5</f>
        <v>4</v>
      </c>
      <c r="J5" s="61">
        <f t="shared" si="0"/>
        <v>1</v>
      </c>
      <c r="L5" s="54"/>
      <c r="M5" s="54"/>
    </row>
    <row r="6" spans="1:13" s="9" customFormat="1">
      <c r="A6">
        <v>22</v>
      </c>
      <c r="B6" s="50"/>
      <c r="C6" s="50"/>
      <c r="D6" s="52" t="s">
        <v>15</v>
      </c>
      <c r="E6" s="329" t="s">
        <v>45</v>
      </c>
      <c r="F6" s="329"/>
      <c r="G6" s="329"/>
      <c r="H6" s="53">
        <v>3.5</v>
      </c>
      <c r="I6" s="53">
        <f>'Ctt Eval'!I10</f>
        <v>3.5</v>
      </c>
      <c r="J6" s="61">
        <f t="shared" si="0"/>
        <v>1</v>
      </c>
      <c r="L6" s="54"/>
      <c r="M6" s="54"/>
    </row>
    <row r="7" spans="1:13" s="9" customFormat="1">
      <c r="A7">
        <v>35</v>
      </c>
      <c r="B7" s="50"/>
      <c r="C7" s="50"/>
      <c r="D7" s="52" t="s">
        <v>113</v>
      </c>
      <c r="E7" s="329" t="s">
        <v>134</v>
      </c>
      <c r="F7" s="329"/>
      <c r="G7" s="329"/>
      <c r="H7" s="53">
        <v>5</v>
      </c>
      <c r="I7" s="53">
        <f>'Ctt Eval'!I14</f>
        <v>5</v>
      </c>
      <c r="J7" s="61">
        <f t="shared" si="0"/>
        <v>1</v>
      </c>
      <c r="L7" s="54"/>
      <c r="M7" s="54"/>
    </row>
    <row r="8" spans="1:13" s="9" customFormat="1">
      <c r="A8">
        <v>60</v>
      </c>
      <c r="B8" s="50"/>
      <c r="C8" s="50"/>
      <c r="D8" s="52" t="s">
        <v>114</v>
      </c>
      <c r="E8" s="329" t="s">
        <v>48</v>
      </c>
      <c r="F8" s="329"/>
      <c r="G8" s="329"/>
      <c r="H8" s="53">
        <v>5</v>
      </c>
      <c r="I8" s="53">
        <f>'Ctt Eval'!I21</f>
        <v>5</v>
      </c>
      <c r="J8" s="61">
        <f t="shared" si="0"/>
        <v>1</v>
      </c>
      <c r="L8" s="54"/>
      <c r="M8" s="54"/>
    </row>
    <row r="9" spans="1:13" s="9" customFormat="1">
      <c r="A9">
        <v>74</v>
      </c>
      <c r="B9" s="50"/>
      <c r="C9" s="50"/>
      <c r="D9" s="52" t="s">
        <v>17</v>
      </c>
      <c r="E9" s="329" t="s">
        <v>49</v>
      </c>
      <c r="F9" s="329"/>
      <c r="G9" s="329"/>
      <c r="H9" s="53">
        <v>7.5</v>
      </c>
      <c r="I9" s="53">
        <f>'Ctt Eval'!I24</f>
        <v>7.5</v>
      </c>
      <c r="J9" s="61">
        <f t="shared" si="0"/>
        <v>1</v>
      </c>
      <c r="L9" s="54"/>
      <c r="M9" s="54"/>
    </row>
    <row r="10" spans="1:13" s="9" customFormat="1">
      <c r="A10">
        <v>102</v>
      </c>
      <c r="B10" s="50"/>
      <c r="C10" s="50"/>
      <c r="D10" s="52" t="s">
        <v>18</v>
      </c>
      <c r="E10" s="329" t="s">
        <v>51</v>
      </c>
      <c r="F10" s="329"/>
      <c r="G10" s="329"/>
      <c r="H10" s="53">
        <v>5</v>
      </c>
      <c r="I10" s="53">
        <f>'Ctt Eval'!I30</f>
        <v>5</v>
      </c>
      <c r="J10" s="61">
        <f t="shared" si="0"/>
        <v>1</v>
      </c>
      <c r="L10" s="54"/>
      <c r="M10" s="54"/>
    </row>
    <row r="11" spans="1:13" s="14" customFormat="1" ht="36">
      <c r="A11">
        <v>118</v>
      </c>
      <c r="B11" s="17"/>
      <c r="C11" s="43" t="s">
        <v>12</v>
      </c>
      <c r="D11" s="330" t="s">
        <v>75</v>
      </c>
      <c r="E11" s="330"/>
      <c r="F11" s="330"/>
      <c r="G11" s="330"/>
      <c r="H11" s="44">
        <v>30</v>
      </c>
      <c r="I11" s="44">
        <f>'Ctt Eval'!I34</f>
        <v>25.576190476190476</v>
      </c>
      <c r="J11" s="60">
        <f t="shared" si="0"/>
        <v>0.85253968253968249</v>
      </c>
      <c r="L11" s="41"/>
      <c r="M11" s="41"/>
    </row>
    <row r="12" spans="1:13" s="9" customFormat="1">
      <c r="A12">
        <v>5</v>
      </c>
      <c r="B12" s="50"/>
      <c r="C12" s="51"/>
      <c r="D12" s="52" t="s">
        <v>14</v>
      </c>
      <c r="E12" s="329" t="s">
        <v>43</v>
      </c>
      <c r="F12" s="329"/>
      <c r="G12" s="329"/>
      <c r="H12" s="53">
        <v>4</v>
      </c>
      <c r="I12" s="53">
        <f>'Ctt Eval'!I35</f>
        <v>3.1428571428571428</v>
      </c>
      <c r="J12" s="61">
        <f t="shared" si="0"/>
        <v>0.7857142857142857</v>
      </c>
      <c r="L12" s="54"/>
      <c r="M12" s="54"/>
    </row>
    <row r="13" spans="1:13" s="9" customFormat="1">
      <c r="A13">
        <v>134</v>
      </c>
      <c r="B13" s="50"/>
      <c r="C13" s="51"/>
      <c r="D13" s="52" t="s">
        <v>15</v>
      </c>
      <c r="E13" s="329" t="s">
        <v>45</v>
      </c>
      <c r="F13" s="329"/>
      <c r="G13" s="329"/>
      <c r="H13" s="53">
        <v>3.5</v>
      </c>
      <c r="I13" s="53">
        <f>'Ctt Eval'!I39</f>
        <v>3.5</v>
      </c>
      <c r="J13" s="61">
        <f t="shared" si="0"/>
        <v>1</v>
      </c>
      <c r="L13" s="54"/>
      <c r="M13" s="54"/>
    </row>
    <row r="14" spans="1:13" s="9" customFormat="1">
      <c r="A14">
        <v>147</v>
      </c>
      <c r="B14" s="50"/>
      <c r="C14" s="51"/>
      <c r="D14" s="52" t="s">
        <v>113</v>
      </c>
      <c r="E14" s="329" t="s">
        <v>134</v>
      </c>
      <c r="F14" s="329"/>
      <c r="G14" s="329"/>
      <c r="H14" s="53">
        <v>5</v>
      </c>
      <c r="I14" s="53">
        <f>'Ctt Eval'!I43</f>
        <v>5</v>
      </c>
      <c r="J14" s="61">
        <f t="shared" si="0"/>
        <v>1</v>
      </c>
      <c r="L14" s="54"/>
      <c r="M14" s="54"/>
    </row>
    <row r="15" spans="1:13" s="9" customFormat="1">
      <c r="A15">
        <v>157</v>
      </c>
      <c r="B15" s="50"/>
      <c r="C15" s="51"/>
      <c r="D15" s="52" t="s">
        <v>114</v>
      </c>
      <c r="E15" s="329" t="s">
        <v>48</v>
      </c>
      <c r="F15" s="329"/>
      <c r="G15" s="329"/>
      <c r="H15" s="53">
        <v>5</v>
      </c>
      <c r="I15" s="53">
        <f>'Ctt Eval'!I47</f>
        <v>4.2</v>
      </c>
      <c r="J15" s="61">
        <f t="shared" si="0"/>
        <v>0.84000000000000008</v>
      </c>
      <c r="L15" s="54"/>
      <c r="M15" s="54"/>
    </row>
    <row r="16" spans="1:13" s="9" customFormat="1">
      <c r="A16">
        <v>182</v>
      </c>
      <c r="B16" s="50"/>
      <c r="C16" s="51"/>
      <c r="D16" s="52" t="s">
        <v>17</v>
      </c>
      <c r="E16" s="329" t="s">
        <v>49</v>
      </c>
      <c r="F16" s="329"/>
      <c r="G16" s="329"/>
      <c r="H16" s="53">
        <v>7.5</v>
      </c>
      <c r="I16" s="53">
        <f>'Ctt Eval'!I51</f>
        <v>4.7333333333333334</v>
      </c>
      <c r="J16" s="61">
        <f t="shared" si="0"/>
        <v>0.63111111111111107</v>
      </c>
      <c r="L16" s="54"/>
      <c r="M16" s="54"/>
    </row>
    <row r="17" spans="1:15" s="9" customFormat="1">
      <c r="A17">
        <v>203</v>
      </c>
      <c r="B17" s="50"/>
      <c r="C17" s="51"/>
      <c r="D17" s="52" t="s">
        <v>18</v>
      </c>
      <c r="E17" s="329" t="s">
        <v>51</v>
      </c>
      <c r="F17" s="329"/>
      <c r="G17" s="329"/>
      <c r="H17" s="53">
        <v>5</v>
      </c>
      <c r="I17" s="53">
        <f>'Ctt Eval'!I55</f>
        <v>5</v>
      </c>
      <c r="J17" s="61">
        <f t="shared" si="0"/>
        <v>1</v>
      </c>
      <c r="L17" s="54"/>
      <c r="M17" s="54"/>
    </row>
    <row r="18" spans="1:15" s="15" customFormat="1" ht="18">
      <c r="A18">
        <v>211</v>
      </c>
      <c r="B18" s="331" t="s">
        <v>127</v>
      </c>
      <c r="C18" s="331"/>
      <c r="D18" s="331"/>
      <c r="E18" s="331"/>
      <c r="F18" s="331"/>
      <c r="G18" s="331"/>
      <c r="H18" s="331"/>
      <c r="I18" s="39">
        <f>'Ctt Eval'!I58</f>
        <v>55.576190476190476</v>
      </c>
      <c r="J18" s="59">
        <f>I18/H3</f>
        <v>0.92626984126984124</v>
      </c>
      <c r="L18" s="23"/>
      <c r="M18" s="23"/>
    </row>
    <row r="19" spans="1:15" customFormat="1" ht="15">
      <c r="A19">
        <v>212</v>
      </c>
      <c r="H19" s="56"/>
      <c r="I19" s="40"/>
      <c r="J19" s="62"/>
      <c r="L19" s="26"/>
      <c r="M19" s="26"/>
    </row>
    <row r="20" spans="1:15" s="15" customFormat="1" ht="36">
      <c r="A20">
        <v>214</v>
      </c>
      <c r="B20" s="16" t="s">
        <v>13</v>
      </c>
      <c r="C20" s="332" t="s">
        <v>128</v>
      </c>
      <c r="D20" s="332"/>
      <c r="E20" s="332"/>
      <c r="F20" s="332"/>
      <c r="G20" s="332"/>
      <c r="H20" s="57">
        <v>40</v>
      </c>
      <c r="I20" s="39">
        <f>'Ctt Eval'!I60</f>
        <v>40</v>
      </c>
      <c r="J20" s="59"/>
      <c r="L20" s="23"/>
      <c r="M20" s="23"/>
    </row>
    <row r="21" spans="1:15" s="14" customFormat="1" ht="19.149999999999999" customHeight="1">
      <c r="A21">
        <v>215</v>
      </c>
      <c r="B21" s="17"/>
      <c r="C21" s="43" t="s">
        <v>1</v>
      </c>
      <c r="D21" s="330" t="s">
        <v>300</v>
      </c>
      <c r="E21" s="330"/>
      <c r="F21" s="330"/>
      <c r="G21" s="330"/>
      <c r="H21" s="44">
        <v>22.5</v>
      </c>
      <c r="I21" s="44">
        <f>'Ctt Eval'!I61</f>
        <v>22.5</v>
      </c>
      <c r="J21" s="60">
        <f>I21/H21</f>
        <v>1</v>
      </c>
      <c r="L21" s="41"/>
      <c r="M21" s="41"/>
    </row>
    <row r="22" spans="1:15" s="9" customFormat="1" ht="38.1" customHeight="1">
      <c r="A22">
        <v>216</v>
      </c>
      <c r="B22" s="50"/>
      <c r="C22" s="51"/>
      <c r="D22" s="76" t="s">
        <v>41</v>
      </c>
      <c r="E22" s="329" t="s">
        <v>228</v>
      </c>
      <c r="F22" s="329"/>
      <c r="G22" s="329"/>
      <c r="H22" s="53">
        <v>17.5</v>
      </c>
      <c r="I22" s="77">
        <f>'Ctt Eval'!I62</f>
        <v>17.5</v>
      </c>
      <c r="J22" s="78">
        <f>I22/H22</f>
        <v>1</v>
      </c>
      <c r="L22" s="54"/>
      <c r="M22" s="54"/>
    </row>
    <row r="23" spans="1:15" s="14" customFormat="1" ht="19.149999999999999" customHeight="1">
      <c r="A23">
        <v>218</v>
      </c>
      <c r="B23" s="50"/>
      <c r="C23" s="51"/>
      <c r="D23" s="76" t="s">
        <v>42</v>
      </c>
      <c r="E23" s="329" t="s">
        <v>199</v>
      </c>
      <c r="F23" s="329"/>
      <c r="G23" s="329"/>
      <c r="H23" s="53">
        <v>5</v>
      </c>
      <c r="I23" s="77">
        <f>'Ctt Eval'!I63</f>
        <v>5</v>
      </c>
      <c r="J23" s="78">
        <f>I23/H23</f>
        <v>1</v>
      </c>
      <c r="L23" s="54"/>
      <c r="M23" s="54"/>
      <c r="N23" s="1"/>
      <c r="O23" s="1"/>
    </row>
    <row r="24" spans="1:15" s="9" customFormat="1" ht="36">
      <c r="A24">
        <v>219</v>
      </c>
      <c r="B24" s="17"/>
      <c r="C24" s="43" t="s">
        <v>12</v>
      </c>
      <c r="D24" s="330" t="s">
        <v>301</v>
      </c>
      <c r="E24" s="330"/>
      <c r="F24" s="330"/>
      <c r="G24" s="330"/>
      <c r="H24" s="44">
        <v>17.5</v>
      </c>
      <c r="I24" s="44">
        <f>'Ctt Eval'!I64</f>
        <v>17.5</v>
      </c>
      <c r="J24" s="60">
        <f>I24/H24</f>
        <v>1</v>
      </c>
      <c r="L24" s="41"/>
      <c r="M24" s="41"/>
      <c r="N24" s="1"/>
      <c r="O24" s="1"/>
    </row>
    <row r="25" spans="1:15" s="15" customFormat="1" ht="18" customHeight="1">
      <c r="A25">
        <v>221</v>
      </c>
      <c r="B25" s="50"/>
      <c r="C25" s="51"/>
      <c r="D25" s="76" t="s">
        <v>41</v>
      </c>
      <c r="E25" s="329" t="s">
        <v>227</v>
      </c>
      <c r="F25" s="329"/>
      <c r="G25" s="329"/>
      <c r="H25" s="53">
        <v>17.5</v>
      </c>
      <c r="I25" s="77">
        <f>'Ctt Eval'!I65</f>
        <v>17.5</v>
      </c>
      <c r="J25" s="78">
        <f>I25/H25</f>
        <v>1</v>
      </c>
      <c r="L25" s="54"/>
      <c r="M25" s="54"/>
      <c r="N25" s="1"/>
      <c r="O25" s="1"/>
    </row>
    <row r="26" spans="1:15" customFormat="1" ht="18">
      <c r="A26">
        <v>222</v>
      </c>
      <c r="B26" s="333" t="s">
        <v>23</v>
      </c>
      <c r="C26" s="333"/>
      <c r="D26" s="333"/>
      <c r="E26" s="333"/>
      <c r="F26" s="333"/>
      <c r="G26" s="333"/>
      <c r="H26" s="333"/>
      <c r="I26" s="39">
        <f>I20</f>
        <v>40</v>
      </c>
      <c r="J26" s="59">
        <f>I26/H20</f>
        <v>1</v>
      </c>
      <c r="L26" s="23"/>
      <c r="M26" s="23"/>
    </row>
    <row r="27" spans="1:15" s="13" customFormat="1" ht="23.1" customHeight="1">
      <c r="A27">
        <v>223</v>
      </c>
      <c r="B27"/>
      <c r="C27"/>
      <c r="D27"/>
      <c r="E27"/>
      <c r="F27"/>
      <c r="G27"/>
      <c r="H27" s="40"/>
      <c r="I27" s="40"/>
      <c r="J27" s="40"/>
      <c r="K27" s="12"/>
      <c r="L27"/>
      <c r="M27"/>
      <c r="N27" s="1"/>
      <c r="O27" s="1"/>
    </row>
    <row r="28" spans="1:15" ht="24">
      <c r="B28" s="327" t="s">
        <v>24</v>
      </c>
      <c r="C28" s="328"/>
      <c r="D28" s="328"/>
      <c r="E28" s="328"/>
      <c r="F28" s="328"/>
      <c r="G28" s="328"/>
      <c r="H28" s="328"/>
      <c r="I28" s="80">
        <f>'Ctt Eval'!I68</f>
        <v>95.576190476190476</v>
      </c>
      <c r="J28" s="21"/>
      <c r="L28" s="42"/>
      <c r="M28" s="42"/>
      <c r="N28" s="1"/>
      <c r="O28" s="1"/>
    </row>
    <row r="29" spans="1:15">
      <c r="N29" s="1"/>
      <c r="O29" s="1"/>
    </row>
    <row r="30" spans="1:15">
      <c r="N30" s="1"/>
      <c r="O30" s="1"/>
    </row>
    <row r="31" spans="1:15">
      <c r="N31" s="1"/>
      <c r="O31" s="1"/>
    </row>
    <row r="32" spans="1:15">
      <c r="N32" s="1"/>
      <c r="O32" s="1"/>
    </row>
    <row r="33" spans="14:15">
      <c r="N33" s="1"/>
      <c r="O33" s="1"/>
    </row>
    <row r="34" spans="14:15">
      <c r="N34" s="1"/>
      <c r="O34" s="1"/>
    </row>
  </sheetData>
  <sheetProtection formatColumns="0" formatRows="0"/>
  <mergeCells count="25">
    <mergeCell ref="E7:G7"/>
    <mergeCell ref="E6:G6"/>
    <mergeCell ref="B1:G1"/>
    <mergeCell ref="C3:G3"/>
    <mergeCell ref="D4:G4"/>
    <mergeCell ref="E5:G5"/>
    <mergeCell ref="D11:G11"/>
    <mergeCell ref="E12:G12"/>
    <mergeCell ref="E10:G10"/>
    <mergeCell ref="E8:G8"/>
    <mergeCell ref="E9:G9"/>
    <mergeCell ref="B28:H28"/>
    <mergeCell ref="E16:G16"/>
    <mergeCell ref="E15:G15"/>
    <mergeCell ref="E13:G13"/>
    <mergeCell ref="E14:G14"/>
    <mergeCell ref="D21:G21"/>
    <mergeCell ref="E22:G22"/>
    <mergeCell ref="E17:G17"/>
    <mergeCell ref="B18:H18"/>
    <mergeCell ref="C20:G20"/>
    <mergeCell ref="E23:G23"/>
    <mergeCell ref="D24:G24"/>
    <mergeCell ref="E25:G25"/>
    <mergeCell ref="B26:H26"/>
  </mergeCells>
  <pageMargins left="2.3622047244094491" right="0.9055118110236221" top="0.74803149606299213" bottom="0.74803149606299213" header="0.31496062992125984" footer="0.31496062992125984"/>
  <pageSetup paperSize="5"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75"/>
  <sheetViews>
    <sheetView topLeftCell="B1" zoomScaleNormal="100" workbookViewId="0">
      <pane ySplit="2" topLeftCell="A51" activePane="bottomLeft" state="frozen"/>
      <selection activeCell="B1" sqref="B1"/>
      <selection pane="bottomLeft" activeCell="D61" sqref="D61:G61"/>
    </sheetView>
  </sheetViews>
  <sheetFormatPr defaultColWidth="9.28515625" defaultRowHeight="15.75"/>
  <cols>
    <col min="1" max="1" width="6.140625" hidden="1" customWidth="1"/>
    <col min="2" max="2" width="4" style="32" bestFit="1" customWidth="1"/>
    <col min="3" max="3" width="4.28515625" style="32" bestFit="1" customWidth="1"/>
    <col min="4" max="4" width="3.42578125" style="32" bestFit="1" customWidth="1"/>
    <col min="5" max="5" width="4.42578125" style="33" customWidth="1"/>
    <col min="6" max="6" width="3.28515625" style="34" bestFit="1" customWidth="1"/>
    <col min="7" max="7" width="48.42578125" style="35" customWidth="1"/>
    <col min="8" max="8" width="12.28515625" style="58" customWidth="1"/>
    <col min="9" max="9" width="14.140625" style="36" bestFit="1" customWidth="1"/>
    <col min="10" max="10" width="16.7109375" style="67" customWidth="1"/>
    <col min="11" max="11" width="5" style="4" customWidth="1"/>
    <col min="12" max="12" width="71.42578125" style="37" customWidth="1"/>
    <col min="13" max="16384" width="9.28515625" style="4"/>
  </cols>
  <sheetData>
    <row r="1" spans="1:12" s="73" customFormat="1" ht="21">
      <c r="A1" s="10">
        <v>1</v>
      </c>
      <c r="B1" s="334" t="s">
        <v>106</v>
      </c>
      <c r="C1" s="334"/>
      <c r="D1" s="334"/>
      <c r="E1" s="334"/>
      <c r="F1" s="334"/>
      <c r="G1" s="334"/>
      <c r="H1" s="69" t="s">
        <v>107</v>
      </c>
      <c r="I1" s="70" t="s">
        <v>21</v>
      </c>
      <c r="J1" s="71" t="s">
        <v>22</v>
      </c>
      <c r="K1" s="72"/>
      <c r="L1" s="71" t="s">
        <v>109</v>
      </c>
    </row>
    <row r="2" spans="1:12" customFormat="1" ht="15">
      <c r="A2">
        <v>2</v>
      </c>
      <c r="H2" s="40"/>
      <c r="I2" s="40"/>
      <c r="J2" s="40"/>
    </row>
    <row r="3" spans="1:12" s="15" customFormat="1" ht="36">
      <c r="A3">
        <v>3</v>
      </c>
      <c r="B3" s="16" t="s">
        <v>0</v>
      </c>
      <c r="C3" s="332" t="s">
        <v>105</v>
      </c>
      <c r="D3" s="332"/>
      <c r="E3" s="332"/>
      <c r="F3" s="332"/>
      <c r="G3" s="332"/>
      <c r="H3" s="55">
        <v>60</v>
      </c>
      <c r="I3" s="39">
        <f>I58</f>
        <v>55.576190476190476</v>
      </c>
      <c r="J3" s="59"/>
      <c r="L3" s="23"/>
    </row>
    <row r="4" spans="1:12" s="14" customFormat="1" ht="18">
      <c r="A4">
        <v>4</v>
      </c>
      <c r="B4" s="17"/>
      <c r="C4" s="43" t="s">
        <v>1</v>
      </c>
      <c r="D4" s="330" t="s">
        <v>110</v>
      </c>
      <c r="E4" s="330"/>
      <c r="F4" s="330"/>
      <c r="G4" s="330"/>
      <c r="H4" s="44">
        <v>30</v>
      </c>
      <c r="I4" s="44">
        <f>'LKE ZI'!L5</f>
        <v>30</v>
      </c>
      <c r="J4" s="60">
        <f t="shared" ref="J4:J51" si="0">I4/H4</f>
        <v>1</v>
      </c>
      <c r="L4" s="41"/>
    </row>
    <row r="5" spans="1:12" s="9" customFormat="1">
      <c r="A5">
        <v>5</v>
      </c>
      <c r="B5" s="18"/>
      <c r="C5" s="45"/>
      <c r="D5" s="46" t="s">
        <v>14</v>
      </c>
      <c r="E5" s="335" t="s">
        <v>43</v>
      </c>
      <c r="F5" s="335"/>
      <c r="G5" s="335"/>
      <c r="H5" s="38">
        <v>4</v>
      </c>
      <c r="I5" s="38">
        <f>'LKE ZI'!L6</f>
        <v>4</v>
      </c>
      <c r="J5" s="64">
        <f t="shared" si="0"/>
        <v>1</v>
      </c>
      <c r="L5" s="25"/>
    </row>
    <row r="6" spans="1:12" s="9" customFormat="1">
      <c r="A6">
        <v>6</v>
      </c>
      <c r="B6" s="2"/>
      <c r="C6" s="19"/>
      <c r="D6" s="19"/>
      <c r="E6" s="29" t="s">
        <v>111</v>
      </c>
      <c r="F6" s="329" t="s">
        <v>112</v>
      </c>
      <c r="G6" s="329"/>
      <c r="H6" s="47">
        <v>0.5</v>
      </c>
      <c r="I6" s="47">
        <f>'LKE ZI'!L7</f>
        <v>0.5</v>
      </c>
      <c r="J6" s="65">
        <f t="shared" si="0"/>
        <v>1</v>
      </c>
      <c r="L6" s="49"/>
    </row>
    <row r="7" spans="1:12" s="9" customFormat="1">
      <c r="A7">
        <v>9</v>
      </c>
      <c r="B7" s="2"/>
      <c r="C7" s="19"/>
      <c r="D7" s="19"/>
      <c r="E7" s="29" t="s">
        <v>115</v>
      </c>
      <c r="F7" s="329" t="s">
        <v>217</v>
      </c>
      <c r="G7" s="329"/>
      <c r="H7" s="47">
        <v>1</v>
      </c>
      <c r="I7" s="47">
        <f>'LKE ZI'!L10</f>
        <v>1</v>
      </c>
      <c r="J7" s="65">
        <f t="shared" si="0"/>
        <v>1</v>
      </c>
      <c r="L7" s="49"/>
    </row>
    <row r="8" spans="1:12" s="9" customFormat="1">
      <c r="A8">
        <v>13</v>
      </c>
      <c r="B8" s="2"/>
      <c r="C8" s="19"/>
      <c r="D8" s="19"/>
      <c r="E8" s="29" t="s">
        <v>116</v>
      </c>
      <c r="F8" s="329" t="s">
        <v>60</v>
      </c>
      <c r="G8" s="329"/>
      <c r="H8" s="47">
        <v>1</v>
      </c>
      <c r="I8" s="47">
        <f>'LKE ZI'!L14</f>
        <v>1</v>
      </c>
      <c r="J8" s="65">
        <f t="shared" si="0"/>
        <v>1</v>
      </c>
      <c r="L8" s="49"/>
    </row>
    <row r="9" spans="1:12" s="9" customFormat="1">
      <c r="A9">
        <v>17</v>
      </c>
      <c r="B9" s="2"/>
      <c r="C9" s="19"/>
      <c r="D9" s="19"/>
      <c r="E9" s="29" t="s">
        <v>117</v>
      </c>
      <c r="F9" s="329" t="s">
        <v>218</v>
      </c>
      <c r="G9" s="329"/>
      <c r="H9" s="47">
        <v>1.5</v>
      </c>
      <c r="I9" s="47">
        <f>'LKE ZI'!L18</f>
        <v>1.5</v>
      </c>
      <c r="J9" s="65">
        <f t="shared" si="0"/>
        <v>1</v>
      </c>
      <c r="L9" s="49"/>
    </row>
    <row r="10" spans="1:12" s="9" customFormat="1" ht="31.5">
      <c r="A10">
        <v>22</v>
      </c>
      <c r="B10" s="18"/>
      <c r="C10" s="18"/>
      <c r="D10" s="46" t="s">
        <v>15</v>
      </c>
      <c r="E10" s="335" t="s">
        <v>45</v>
      </c>
      <c r="F10" s="335"/>
      <c r="G10" s="335"/>
      <c r="H10" s="38">
        <v>3.5</v>
      </c>
      <c r="I10" s="38">
        <f>'LKE ZI'!L23</f>
        <v>3.5</v>
      </c>
      <c r="J10" s="64">
        <f t="shared" si="0"/>
        <v>1</v>
      </c>
      <c r="L10" s="25"/>
    </row>
    <row r="11" spans="1:12" s="9" customFormat="1">
      <c r="A11">
        <v>23</v>
      </c>
      <c r="B11" s="2"/>
      <c r="C11" s="19"/>
      <c r="D11" s="19"/>
      <c r="E11" s="29" t="s">
        <v>111</v>
      </c>
      <c r="F11" s="329" t="s">
        <v>212</v>
      </c>
      <c r="G11" s="329"/>
      <c r="H11" s="47">
        <v>1</v>
      </c>
      <c r="I11" s="47">
        <f>'LKE ZI'!L24</f>
        <v>1</v>
      </c>
      <c r="J11" s="65">
        <f t="shared" si="0"/>
        <v>1</v>
      </c>
      <c r="L11" s="49"/>
    </row>
    <row r="12" spans="1:12" s="9" customFormat="1">
      <c r="A12">
        <v>27</v>
      </c>
      <c r="B12" s="2"/>
      <c r="C12" s="19"/>
      <c r="D12" s="19"/>
      <c r="E12" s="29" t="s">
        <v>115</v>
      </c>
      <c r="F12" s="329" t="s">
        <v>216</v>
      </c>
      <c r="G12" s="329"/>
      <c r="H12" s="47">
        <v>2</v>
      </c>
      <c r="I12" s="47">
        <f>'LKE ZI'!L28</f>
        <v>2</v>
      </c>
      <c r="J12" s="65">
        <f t="shared" si="0"/>
        <v>1</v>
      </c>
      <c r="L12" s="49"/>
    </row>
    <row r="13" spans="1:12" s="9" customFormat="1">
      <c r="A13">
        <v>32</v>
      </c>
      <c r="B13" s="2"/>
      <c r="C13" s="19"/>
      <c r="D13" s="19"/>
      <c r="E13" s="29" t="s">
        <v>116</v>
      </c>
      <c r="F13" s="329" t="s">
        <v>62</v>
      </c>
      <c r="G13" s="329"/>
      <c r="H13" s="47">
        <v>0.5</v>
      </c>
      <c r="I13" s="47">
        <f>'LKE ZI'!L33</f>
        <v>0.5</v>
      </c>
      <c r="J13" s="65">
        <f t="shared" si="0"/>
        <v>1</v>
      </c>
      <c r="L13" s="49"/>
    </row>
    <row r="14" spans="1:12" s="9" customFormat="1" ht="31.5">
      <c r="A14">
        <v>35</v>
      </c>
      <c r="B14" s="18"/>
      <c r="C14" s="18"/>
      <c r="D14" s="46" t="s">
        <v>113</v>
      </c>
      <c r="E14" s="335" t="s">
        <v>134</v>
      </c>
      <c r="F14" s="335"/>
      <c r="G14" s="335"/>
      <c r="H14" s="38">
        <v>5</v>
      </c>
      <c r="I14" s="38">
        <f>'LKE ZI'!L36</f>
        <v>5</v>
      </c>
      <c r="J14" s="64">
        <f t="shared" si="0"/>
        <v>1</v>
      </c>
      <c r="L14" s="25"/>
    </row>
    <row r="15" spans="1:12" s="9" customFormat="1" ht="32.1" customHeight="1">
      <c r="A15">
        <v>36</v>
      </c>
      <c r="B15" s="2"/>
      <c r="C15" s="19"/>
      <c r="D15" s="19"/>
      <c r="E15" s="29" t="s">
        <v>111</v>
      </c>
      <c r="F15" s="329" t="s">
        <v>219</v>
      </c>
      <c r="G15" s="329"/>
      <c r="H15" s="47">
        <v>0.25</v>
      </c>
      <c r="I15" s="47">
        <f>'LKE ZI'!L37</f>
        <v>0.25</v>
      </c>
      <c r="J15" s="65">
        <f t="shared" si="0"/>
        <v>1</v>
      </c>
      <c r="L15" s="49"/>
    </row>
    <row r="16" spans="1:12" s="9" customFormat="1">
      <c r="A16">
        <v>40</v>
      </c>
      <c r="B16" s="2"/>
      <c r="C16" s="19"/>
      <c r="D16" s="19"/>
      <c r="E16" s="29" t="s">
        <v>115</v>
      </c>
      <c r="F16" s="329" t="s">
        <v>63</v>
      </c>
      <c r="G16" s="329"/>
      <c r="H16" s="47">
        <v>0.5</v>
      </c>
      <c r="I16" s="47">
        <f>'LKE ZI'!L41</f>
        <v>0.5</v>
      </c>
      <c r="J16" s="65">
        <f t="shared" si="0"/>
        <v>1</v>
      </c>
      <c r="L16" s="49"/>
    </row>
    <row r="17" spans="1:12" s="9" customFormat="1">
      <c r="A17">
        <v>44</v>
      </c>
      <c r="B17" s="2"/>
      <c r="C17" s="19"/>
      <c r="D17" s="19"/>
      <c r="E17" s="29" t="s">
        <v>116</v>
      </c>
      <c r="F17" s="329" t="s">
        <v>220</v>
      </c>
      <c r="G17" s="329"/>
      <c r="H17" s="47">
        <v>1.25</v>
      </c>
      <c r="I17" s="47">
        <f>'LKE ZI'!L45</f>
        <v>1.25</v>
      </c>
      <c r="J17" s="65">
        <f t="shared" si="0"/>
        <v>1</v>
      </c>
      <c r="L17" s="49"/>
    </row>
    <row r="18" spans="1:12" s="9" customFormat="1">
      <c r="A18">
        <v>51</v>
      </c>
      <c r="B18" s="2"/>
      <c r="C18" s="19"/>
      <c r="D18" s="19"/>
      <c r="E18" s="29" t="s">
        <v>117</v>
      </c>
      <c r="F18" s="329" t="s">
        <v>221</v>
      </c>
      <c r="G18" s="329"/>
      <c r="H18" s="47">
        <v>2</v>
      </c>
      <c r="I18" s="47">
        <f>'LKE ZI'!L52</f>
        <v>2</v>
      </c>
      <c r="J18" s="65">
        <f t="shared" si="0"/>
        <v>1</v>
      </c>
      <c r="L18" s="49"/>
    </row>
    <row r="19" spans="1:12" s="9" customFormat="1">
      <c r="A19">
        <v>56</v>
      </c>
      <c r="B19" s="2"/>
      <c r="C19" s="19"/>
      <c r="D19" s="19"/>
      <c r="E19" s="29" t="s">
        <v>118</v>
      </c>
      <c r="F19" s="329" t="s">
        <v>222</v>
      </c>
      <c r="G19" s="329"/>
      <c r="H19" s="47">
        <v>0.75</v>
      </c>
      <c r="I19" s="47">
        <f>'LKE ZI'!L57</f>
        <v>0.75</v>
      </c>
      <c r="J19" s="65">
        <f t="shared" si="0"/>
        <v>1</v>
      </c>
      <c r="L19" s="49"/>
    </row>
    <row r="20" spans="1:12" s="9" customFormat="1">
      <c r="A20">
        <v>58</v>
      </c>
      <c r="B20" s="2"/>
      <c r="C20" s="19"/>
      <c r="D20" s="19"/>
      <c r="E20" s="29" t="s">
        <v>119</v>
      </c>
      <c r="F20" s="329" t="s">
        <v>64</v>
      </c>
      <c r="G20" s="329"/>
      <c r="H20" s="47">
        <v>0.25</v>
      </c>
      <c r="I20" s="47">
        <f>'LKE ZI'!L59</f>
        <v>0.25</v>
      </c>
      <c r="J20" s="65">
        <f t="shared" si="0"/>
        <v>1</v>
      </c>
      <c r="L20" s="49"/>
    </row>
    <row r="21" spans="1:12" s="9" customFormat="1" ht="31.5">
      <c r="A21">
        <v>60</v>
      </c>
      <c r="B21" s="18"/>
      <c r="C21" s="18"/>
      <c r="D21" s="46" t="s">
        <v>114</v>
      </c>
      <c r="E21" s="335" t="s">
        <v>48</v>
      </c>
      <c r="F21" s="335"/>
      <c r="G21" s="335"/>
      <c r="H21" s="38">
        <v>5</v>
      </c>
      <c r="I21" s="38">
        <f>'LKE ZI'!L61</f>
        <v>5</v>
      </c>
      <c r="J21" s="64">
        <f t="shared" si="0"/>
        <v>1</v>
      </c>
      <c r="L21" s="25"/>
    </row>
    <row r="22" spans="1:12" s="9" customFormat="1">
      <c r="A22">
        <v>61</v>
      </c>
      <c r="B22" s="2"/>
      <c r="C22" s="19"/>
      <c r="D22" s="19"/>
      <c r="E22" s="29" t="s">
        <v>111</v>
      </c>
      <c r="F22" s="329" t="s">
        <v>223</v>
      </c>
      <c r="G22" s="329"/>
      <c r="H22" s="47">
        <v>2.5</v>
      </c>
      <c r="I22" s="47">
        <f>'LKE ZI'!L62</f>
        <v>2.5</v>
      </c>
      <c r="J22" s="65">
        <f t="shared" si="0"/>
        <v>1</v>
      </c>
      <c r="L22" s="49"/>
    </row>
    <row r="23" spans="1:12" s="9" customFormat="1">
      <c r="A23">
        <v>65</v>
      </c>
      <c r="B23" s="2"/>
      <c r="C23" s="19"/>
      <c r="D23" s="19"/>
      <c r="E23" s="29" t="s">
        <v>115</v>
      </c>
      <c r="F23" s="329" t="s">
        <v>65</v>
      </c>
      <c r="G23" s="329"/>
      <c r="H23" s="47">
        <v>2.5</v>
      </c>
      <c r="I23" s="47">
        <f>'LKE ZI'!L66</f>
        <v>2.5</v>
      </c>
      <c r="J23" s="65">
        <f t="shared" si="0"/>
        <v>1</v>
      </c>
      <c r="L23" s="49"/>
    </row>
    <row r="24" spans="1:12" s="9" customFormat="1" ht="31.5">
      <c r="A24">
        <v>74</v>
      </c>
      <c r="B24" s="18"/>
      <c r="C24" s="18"/>
      <c r="D24" s="46" t="s">
        <v>17</v>
      </c>
      <c r="E24" s="335" t="s">
        <v>49</v>
      </c>
      <c r="F24" s="335"/>
      <c r="G24" s="335"/>
      <c r="H24" s="38">
        <v>7.5</v>
      </c>
      <c r="I24" s="38">
        <f>'LKE ZI'!L75</f>
        <v>7.5</v>
      </c>
      <c r="J24" s="64">
        <f t="shared" si="0"/>
        <v>1</v>
      </c>
      <c r="L24" s="25"/>
    </row>
    <row r="25" spans="1:12" s="9" customFormat="1">
      <c r="A25">
        <v>75</v>
      </c>
      <c r="B25" s="2"/>
      <c r="C25" s="19"/>
      <c r="D25" s="19"/>
      <c r="E25" s="29" t="s">
        <v>111</v>
      </c>
      <c r="F25" s="329" t="s">
        <v>66</v>
      </c>
      <c r="G25" s="329"/>
      <c r="H25" s="47">
        <v>1.5</v>
      </c>
      <c r="I25" s="47">
        <f>'LKE ZI'!L76</f>
        <v>1.5</v>
      </c>
      <c r="J25" s="65">
        <f t="shared" si="0"/>
        <v>1</v>
      </c>
      <c r="L25" s="49"/>
    </row>
    <row r="26" spans="1:12" s="9" customFormat="1" ht="31.15" customHeight="1">
      <c r="A26">
        <v>78</v>
      </c>
      <c r="B26" s="2"/>
      <c r="C26" s="19"/>
      <c r="D26" s="19"/>
      <c r="E26" s="29" t="s">
        <v>115</v>
      </c>
      <c r="F26" s="329" t="s">
        <v>270</v>
      </c>
      <c r="G26" s="329"/>
      <c r="H26" s="47">
        <v>1.5</v>
      </c>
      <c r="I26" s="47">
        <f>'LKE ZI'!L79</f>
        <v>1.5</v>
      </c>
      <c r="J26" s="65">
        <f t="shared" si="0"/>
        <v>1</v>
      </c>
      <c r="L26" s="49"/>
    </row>
    <row r="27" spans="1:12" s="9" customFormat="1">
      <c r="A27">
        <v>83</v>
      </c>
      <c r="B27" s="2"/>
      <c r="C27" s="19"/>
      <c r="D27" s="19"/>
      <c r="E27" s="29" t="s">
        <v>116</v>
      </c>
      <c r="F27" s="329" t="s">
        <v>67</v>
      </c>
      <c r="G27" s="329"/>
      <c r="H27" s="47">
        <v>1.5</v>
      </c>
      <c r="I27" s="47">
        <f>'LKE ZI'!L84</f>
        <v>1.5</v>
      </c>
      <c r="J27" s="65">
        <f t="shared" si="0"/>
        <v>1</v>
      </c>
      <c r="L27" s="49"/>
    </row>
    <row r="28" spans="1:12" s="9" customFormat="1">
      <c r="A28">
        <v>91</v>
      </c>
      <c r="B28" s="2"/>
      <c r="C28" s="19"/>
      <c r="D28" s="19"/>
      <c r="E28" s="29" t="s">
        <v>117</v>
      </c>
      <c r="F28" s="336" t="s">
        <v>68</v>
      </c>
      <c r="G28" s="329"/>
      <c r="H28" s="47">
        <v>1.5</v>
      </c>
      <c r="I28" s="47">
        <f>'LKE ZI'!L89</f>
        <v>1.5</v>
      </c>
      <c r="J28" s="65">
        <f t="shared" si="0"/>
        <v>1</v>
      </c>
      <c r="L28" s="49"/>
    </row>
    <row r="29" spans="1:12" s="9" customFormat="1">
      <c r="A29">
        <v>96</v>
      </c>
      <c r="B29" s="2"/>
      <c r="C29" s="19"/>
      <c r="D29" s="19"/>
      <c r="E29" s="29" t="s">
        <v>118</v>
      </c>
      <c r="F29" s="329" t="s">
        <v>69</v>
      </c>
      <c r="G29" s="329"/>
      <c r="H29" s="47">
        <v>1.5</v>
      </c>
      <c r="I29" s="47">
        <f>'LKE ZI'!L94</f>
        <v>1.5</v>
      </c>
      <c r="J29" s="65">
        <f t="shared" si="0"/>
        <v>1</v>
      </c>
      <c r="L29" s="49"/>
    </row>
    <row r="30" spans="1:12" s="9" customFormat="1" ht="31.5">
      <c r="A30">
        <v>102</v>
      </c>
      <c r="B30" s="18"/>
      <c r="C30" s="18"/>
      <c r="D30" s="46" t="s">
        <v>18</v>
      </c>
      <c r="E30" s="335" t="s">
        <v>51</v>
      </c>
      <c r="F30" s="335"/>
      <c r="G30" s="335"/>
      <c r="H30" s="38">
        <v>5</v>
      </c>
      <c r="I30" s="38">
        <f>'LKE ZI'!L100</f>
        <v>5</v>
      </c>
      <c r="J30" s="64">
        <f t="shared" si="0"/>
        <v>1</v>
      </c>
      <c r="L30" s="25"/>
    </row>
    <row r="31" spans="1:12" s="9" customFormat="1">
      <c r="A31">
        <v>103</v>
      </c>
      <c r="B31" s="2"/>
      <c r="C31" s="19"/>
      <c r="D31" s="19"/>
      <c r="E31" s="29" t="s">
        <v>111</v>
      </c>
      <c r="F31" s="329" t="s">
        <v>70</v>
      </c>
      <c r="G31" s="329"/>
      <c r="H31" s="47">
        <v>1.5</v>
      </c>
      <c r="I31" s="47">
        <f>'LKE ZI'!L101</f>
        <v>1</v>
      </c>
      <c r="J31" s="65">
        <f t="shared" si="0"/>
        <v>0.66666666666666663</v>
      </c>
      <c r="L31" s="49"/>
    </row>
    <row r="32" spans="1:12" s="9" customFormat="1">
      <c r="A32">
        <v>108</v>
      </c>
      <c r="B32" s="2"/>
      <c r="C32" s="19"/>
      <c r="D32" s="19"/>
      <c r="E32" s="29" t="s">
        <v>115</v>
      </c>
      <c r="F32" s="329" t="s">
        <v>71</v>
      </c>
      <c r="G32" s="329"/>
      <c r="H32" s="47">
        <v>2</v>
      </c>
      <c r="I32" s="47">
        <f>'LKE ZI'!L106</f>
        <v>1</v>
      </c>
      <c r="J32" s="65">
        <f t="shared" si="0"/>
        <v>0.5</v>
      </c>
      <c r="L32" s="49"/>
    </row>
    <row r="33" spans="1:12" s="9" customFormat="1">
      <c r="A33">
        <v>114</v>
      </c>
      <c r="B33" s="2"/>
      <c r="C33" s="19"/>
      <c r="D33" s="19"/>
      <c r="E33" s="29" t="s">
        <v>116</v>
      </c>
      <c r="F33" s="329" t="s">
        <v>224</v>
      </c>
      <c r="G33" s="329"/>
      <c r="H33" s="47">
        <v>1.5</v>
      </c>
      <c r="I33" s="47">
        <f>'LKE ZI'!L117</f>
        <v>1</v>
      </c>
      <c r="J33" s="65">
        <f t="shared" si="0"/>
        <v>0.66666666666666663</v>
      </c>
      <c r="L33" s="49"/>
    </row>
    <row r="34" spans="1:12" s="14" customFormat="1" ht="36">
      <c r="A34">
        <v>118</v>
      </c>
      <c r="B34" s="17"/>
      <c r="C34" s="43" t="s">
        <v>12</v>
      </c>
      <c r="D34" s="330" t="s">
        <v>75</v>
      </c>
      <c r="E34" s="330"/>
      <c r="F34" s="330"/>
      <c r="G34" s="330"/>
      <c r="H34" s="44">
        <v>30</v>
      </c>
      <c r="I34" s="44">
        <f>'LKE ZI'!L125</f>
        <v>25.576190476190476</v>
      </c>
      <c r="J34" s="60">
        <f t="shared" si="0"/>
        <v>0.85253968253968249</v>
      </c>
      <c r="L34" s="24"/>
    </row>
    <row r="35" spans="1:12" s="9" customFormat="1">
      <c r="A35">
        <v>5</v>
      </c>
      <c r="B35" s="18"/>
      <c r="C35" s="45"/>
      <c r="D35" s="46" t="s">
        <v>14</v>
      </c>
      <c r="E35" s="335" t="s">
        <v>43</v>
      </c>
      <c r="F35" s="335"/>
      <c r="G35" s="335"/>
      <c r="H35" s="38">
        <v>4</v>
      </c>
      <c r="I35" s="38">
        <f>'LKE ZI'!L126</f>
        <v>3.1428571428571428</v>
      </c>
      <c r="J35" s="64">
        <f t="shared" si="0"/>
        <v>0.7857142857142857</v>
      </c>
      <c r="L35" s="25"/>
    </row>
    <row r="36" spans="1:12" s="9" customFormat="1">
      <c r="A36">
        <v>120</v>
      </c>
      <c r="B36" s="2"/>
      <c r="C36" s="19"/>
      <c r="D36" s="19"/>
      <c r="E36" s="29" t="s">
        <v>111</v>
      </c>
      <c r="F36" s="329" t="s">
        <v>225</v>
      </c>
      <c r="G36" s="329"/>
      <c r="H36" s="47">
        <v>2</v>
      </c>
      <c r="I36" s="47">
        <f>'LKE ZI'!L127</f>
        <v>1.1428571428571428</v>
      </c>
      <c r="J36" s="65">
        <f t="shared" si="0"/>
        <v>0.5714285714285714</v>
      </c>
      <c r="L36" s="49"/>
    </row>
    <row r="37" spans="1:12" s="9" customFormat="1">
      <c r="A37">
        <v>128</v>
      </c>
      <c r="B37" s="2"/>
      <c r="C37" s="19"/>
      <c r="D37" s="19"/>
      <c r="E37" s="29" t="s">
        <v>115</v>
      </c>
      <c r="F37" s="329" t="s">
        <v>77</v>
      </c>
      <c r="G37" s="329" t="s">
        <v>77</v>
      </c>
      <c r="H37" s="47">
        <v>1</v>
      </c>
      <c r="I37" s="47">
        <f>'LKE ZI'!L134</f>
        <v>1</v>
      </c>
      <c r="J37" s="65">
        <f t="shared" si="0"/>
        <v>1</v>
      </c>
      <c r="L37" s="49"/>
    </row>
    <row r="38" spans="1:12" s="9" customFormat="1">
      <c r="A38">
        <v>130</v>
      </c>
      <c r="B38" s="2"/>
      <c r="C38" s="19"/>
      <c r="D38" s="19"/>
      <c r="E38" s="29" t="s">
        <v>116</v>
      </c>
      <c r="F38" s="329" t="s">
        <v>79</v>
      </c>
      <c r="G38" s="329" t="s">
        <v>79</v>
      </c>
      <c r="H38" s="47">
        <v>1</v>
      </c>
      <c r="I38" s="47">
        <f>'LKE ZI'!L136</f>
        <v>1</v>
      </c>
      <c r="J38" s="65">
        <f t="shared" si="0"/>
        <v>1</v>
      </c>
      <c r="L38" s="49"/>
    </row>
    <row r="39" spans="1:12" s="9" customFormat="1" ht="31.5">
      <c r="A39">
        <v>134</v>
      </c>
      <c r="B39" s="18"/>
      <c r="C39" s="45"/>
      <c r="D39" s="46" t="s">
        <v>15</v>
      </c>
      <c r="E39" s="335" t="s">
        <v>45</v>
      </c>
      <c r="F39" s="335"/>
      <c r="G39" s="335"/>
      <c r="H39" s="38">
        <v>3.5</v>
      </c>
      <c r="I39" s="38">
        <f>'LKE ZI'!L138</f>
        <v>3.5</v>
      </c>
      <c r="J39" s="64">
        <f t="shared" si="0"/>
        <v>1</v>
      </c>
      <c r="L39" s="25"/>
    </row>
    <row r="40" spans="1:12" s="9" customFormat="1">
      <c r="A40">
        <v>135</v>
      </c>
      <c r="B40" s="2"/>
      <c r="C40" s="19"/>
      <c r="D40" s="19"/>
      <c r="E40" s="29" t="s">
        <v>111</v>
      </c>
      <c r="F40" s="329" t="s">
        <v>83</v>
      </c>
      <c r="G40" s="329"/>
      <c r="H40" s="47">
        <v>0.5</v>
      </c>
      <c r="I40" s="47">
        <f>'LKE ZI'!L139</f>
        <v>0.5</v>
      </c>
      <c r="J40" s="65">
        <f t="shared" si="0"/>
        <v>1</v>
      </c>
      <c r="L40" s="49"/>
    </row>
    <row r="41" spans="1:12" s="9" customFormat="1" ht="34.15" customHeight="1">
      <c r="A41">
        <v>137</v>
      </c>
      <c r="B41" s="2"/>
      <c r="C41" s="19"/>
      <c r="D41" s="19"/>
      <c r="E41" s="29" t="s">
        <v>115</v>
      </c>
      <c r="F41" s="329" t="s">
        <v>84</v>
      </c>
      <c r="G41" s="329"/>
      <c r="H41" s="47">
        <v>1</v>
      </c>
      <c r="I41" s="47">
        <f>'LKE ZI'!L141</f>
        <v>1</v>
      </c>
      <c r="J41" s="65">
        <f t="shared" si="0"/>
        <v>1</v>
      </c>
      <c r="L41" s="49"/>
    </row>
    <row r="42" spans="1:12" s="9" customFormat="1">
      <c r="A42">
        <v>140</v>
      </c>
      <c r="B42" s="2"/>
      <c r="C42" s="19"/>
      <c r="D42" s="19"/>
      <c r="E42" s="29" t="s">
        <v>116</v>
      </c>
      <c r="F42" s="329" t="s">
        <v>89</v>
      </c>
      <c r="G42" s="329"/>
      <c r="H42" s="47">
        <v>2</v>
      </c>
      <c r="I42" s="47">
        <f>'LKE ZI'!L144</f>
        <v>2</v>
      </c>
      <c r="J42" s="65">
        <f t="shared" si="0"/>
        <v>1</v>
      </c>
      <c r="L42" s="49"/>
    </row>
    <row r="43" spans="1:12" s="9" customFormat="1" ht="31.5">
      <c r="A43">
        <v>147</v>
      </c>
      <c r="B43" s="18"/>
      <c r="C43" s="45"/>
      <c r="D43" s="46" t="s">
        <v>113</v>
      </c>
      <c r="E43" s="335" t="s">
        <v>134</v>
      </c>
      <c r="F43" s="335"/>
      <c r="G43" s="335"/>
      <c r="H43" s="38">
        <v>5</v>
      </c>
      <c r="I43" s="38">
        <f>'LKE ZI'!L148</f>
        <v>5</v>
      </c>
      <c r="J43" s="64">
        <f t="shared" si="0"/>
        <v>1</v>
      </c>
      <c r="L43" s="25"/>
    </row>
    <row r="44" spans="1:12" s="9" customFormat="1">
      <c r="A44">
        <v>148</v>
      </c>
      <c r="B44" s="2"/>
      <c r="C44" s="19"/>
      <c r="D44" s="19"/>
      <c r="E44" s="29" t="s">
        <v>111</v>
      </c>
      <c r="F44" s="329" t="s">
        <v>93</v>
      </c>
      <c r="G44" s="329"/>
      <c r="H44" s="47">
        <v>1.5</v>
      </c>
      <c r="I44" s="47">
        <f>'LKE ZI'!L149</f>
        <v>1.5</v>
      </c>
      <c r="J44" s="65">
        <f t="shared" si="0"/>
        <v>1</v>
      </c>
      <c r="L44" s="49"/>
    </row>
    <row r="45" spans="1:12" s="9" customFormat="1">
      <c r="A45">
        <v>150</v>
      </c>
      <c r="B45" s="2"/>
      <c r="C45" s="19"/>
      <c r="D45" s="19"/>
      <c r="E45" s="29" t="s">
        <v>115</v>
      </c>
      <c r="F45" s="329" t="s">
        <v>138</v>
      </c>
      <c r="G45" s="329"/>
      <c r="H45" s="47">
        <v>1.5</v>
      </c>
      <c r="I45" s="47">
        <f>'LKE ZI'!L151</f>
        <v>1.5</v>
      </c>
      <c r="J45" s="65">
        <f t="shared" si="0"/>
        <v>1</v>
      </c>
      <c r="L45" s="49"/>
    </row>
    <row r="46" spans="1:12" s="9" customFormat="1">
      <c r="A46">
        <v>152</v>
      </c>
      <c r="B46" s="2"/>
      <c r="C46" s="19"/>
      <c r="D46" s="19"/>
      <c r="E46" s="29" t="s">
        <v>116</v>
      </c>
      <c r="F46" s="329" t="s">
        <v>94</v>
      </c>
      <c r="G46" s="329"/>
      <c r="H46" s="47">
        <v>2</v>
      </c>
      <c r="I46" s="47">
        <f>'LKE ZI'!L153</f>
        <v>2</v>
      </c>
      <c r="J46" s="65">
        <f t="shared" si="0"/>
        <v>1</v>
      </c>
      <c r="L46" s="49"/>
    </row>
    <row r="47" spans="1:12" s="9" customFormat="1" ht="31.5">
      <c r="A47">
        <v>157</v>
      </c>
      <c r="B47" s="18"/>
      <c r="C47" s="45"/>
      <c r="D47" s="46" t="s">
        <v>114</v>
      </c>
      <c r="E47" s="335" t="s">
        <v>48</v>
      </c>
      <c r="F47" s="335"/>
      <c r="G47" s="335"/>
      <c r="H47" s="38">
        <v>5</v>
      </c>
      <c r="I47" s="38">
        <f>'LKE ZI'!L158</f>
        <v>4.2</v>
      </c>
      <c r="J47" s="64">
        <f t="shared" si="0"/>
        <v>0.84000000000000008</v>
      </c>
      <c r="L47" s="25"/>
    </row>
    <row r="48" spans="1:12" s="9" customFormat="1">
      <c r="A48">
        <v>173</v>
      </c>
      <c r="B48" s="2"/>
      <c r="C48" s="19"/>
      <c r="D48" s="19"/>
      <c r="E48" s="29" t="s">
        <v>111</v>
      </c>
      <c r="F48" s="329" t="s">
        <v>136</v>
      </c>
      <c r="G48" s="329"/>
      <c r="H48" s="47">
        <v>1</v>
      </c>
      <c r="I48" s="47">
        <f>'LKE ZI'!L159</f>
        <v>1.2</v>
      </c>
      <c r="J48" s="65">
        <f t="shared" si="0"/>
        <v>1.2</v>
      </c>
      <c r="L48" s="49"/>
    </row>
    <row r="49" spans="1:15" s="9" customFormat="1">
      <c r="A49">
        <v>177</v>
      </c>
      <c r="B49" s="2"/>
      <c r="C49" s="19"/>
      <c r="D49" s="19"/>
      <c r="E49" s="29" t="s">
        <v>115</v>
      </c>
      <c r="F49" s="329" t="s">
        <v>226</v>
      </c>
      <c r="G49" s="329"/>
      <c r="H49" s="47">
        <v>1</v>
      </c>
      <c r="I49" s="47">
        <f>'LKE ZI'!L163</f>
        <v>1.5</v>
      </c>
      <c r="J49" s="65">
        <f t="shared" si="0"/>
        <v>1.5</v>
      </c>
      <c r="L49" s="49"/>
    </row>
    <row r="50" spans="1:15" s="9" customFormat="1">
      <c r="A50">
        <v>179</v>
      </c>
      <c r="B50" s="2"/>
      <c r="C50" s="19"/>
      <c r="D50" s="19"/>
      <c r="E50" s="29" t="s">
        <v>116</v>
      </c>
      <c r="F50" s="329" t="s">
        <v>97</v>
      </c>
      <c r="G50" s="329"/>
      <c r="H50" s="47">
        <v>1</v>
      </c>
      <c r="I50" s="47">
        <f>'LKE ZI'!L165</f>
        <v>1.5</v>
      </c>
      <c r="J50" s="65">
        <f t="shared" si="0"/>
        <v>1.5</v>
      </c>
      <c r="L50" s="49"/>
    </row>
    <row r="51" spans="1:15" s="9" customFormat="1" ht="31.5">
      <c r="A51">
        <v>182</v>
      </c>
      <c r="B51" s="18"/>
      <c r="C51" s="45"/>
      <c r="D51" s="46" t="s">
        <v>17</v>
      </c>
      <c r="E51" s="335" t="s">
        <v>49</v>
      </c>
      <c r="F51" s="335"/>
      <c r="G51" s="335"/>
      <c r="H51" s="38">
        <v>7.5</v>
      </c>
      <c r="I51" s="38">
        <f>'LKE ZI'!L167</f>
        <v>4.7333333333333334</v>
      </c>
      <c r="J51" s="64">
        <f t="shared" si="0"/>
        <v>0.63111111111111107</v>
      </c>
      <c r="L51" s="25"/>
    </row>
    <row r="52" spans="1:15" s="9" customFormat="1" ht="35.1" customHeight="1">
      <c r="A52">
        <v>184</v>
      </c>
      <c r="B52" s="2"/>
      <c r="C52" s="19"/>
      <c r="D52" s="19"/>
      <c r="E52" s="19" t="s">
        <v>111</v>
      </c>
      <c r="F52" s="329" t="s">
        <v>50</v>
      </c>
      <c r="G52" s="329"/>
      <c r="H52" s="47">
        <v>2.5</v>
      </c>
      <c r="I52" s="47">
        <f>'LKE ZI'!L168</f>
        <v>2.5</v>
      </c>
      <c r="J52" s="65">
        <f t="shared" ref="J52:J57" si="1">I52/H52</f>
        <v>1</v>
      </c>
      <c r="L52" s="49"/>
    </row>
    <row r="53" spans="1:15" s="9" customFormat="1" ht="34.15" customHeight="1">
      <c r="A53">
        <v>190</v>
      </c>
      <c r="B53" s="2"/>
      <c r="C53" s="19"/>
      <c r="D53" s="19"/>
      <c r="E53" s="19" t="s">
        <v>115</v>
      </c>
      <c r="F53" s="329" t="s">
        <v>98</v>
      </c>
      <c r="G53" s="329"/>
      <c r="H53" s="47">
        <v>2.5</v>
      </c>
      <c r="I53" s="47" t="e">
        <f>'LKE ZI'!#REF!</f>
        <v>#REF!</v>
      </c>
      <c r="J53" s="65" t="e">
        <f t="shared" si="1"/>
        <v>#REF!</v>
      </c>
      <c r="L53" s="49"/>
    </row>
    <row r="54" spans="1:15" s="9" customFormat="1">
      <c r="A54">
        <v>197</v>
      </c>
      <c r="B54" s="2"/>
      <c r="C54" s="19"/>
      <c r="D54" s="19"/>
      <c r="E54" s="19" t="s">
        <v>116</v>
      </c>
      <c r="F54" s="329" t="s">
        <v>28</v>
      </c>
      <c r="G54" s="329"/>
      <c r="H54" s="47">
        <v>2.5</v>
      </c>
      <c r="I54" s="47">
        <f>'LKE ZI'!L170</f>
        <v>0.5</v>
      </c>
      <c r="J54" s="65">
        <f t="shared" si="1"/>
        <v>0.2</v>
      </c>
      <c r="L54" s="49"/>
    </row>
    <row r="55" spans="1:15" s="9" customFormat="1" ht="31.5">
      <c r="A55">
        <v>203</v>
      </c>
      <c r="B55" s="18"/>
      <c r="C55" s="45"/>
      <c r="D55" s="46" t="s">
        <v>18</v>
      </c>
      <c r="E55" s="335" t="s">
        <v>51</v>
      </c>
      <c r="F55" s="335"/>
      <c r="G55" s="335"/>
      <c r="H55" s="38">
        <v>5</v>
      </c>
      <c r="I55" s="38">
        <f>'LKE ZI'!L190</f>
        <v>5</v>
      </c>
      <c r="J55" s="64">
        <f t="shared" si="1"/>
        <v>1</v>
      </c>
      <c r="L55" s="25"/>
    </row>
    <row r="56" spans="1:15" s="9" customFormat="1">
      <c r="A56">
        <v>204</v>
      </c>
      <c r="B56" s="2"/>
      <c r="C56" s="19"/>
      <c r="D56" s="19"/>
      <c r="E56" s="48" t="s">
        <v>111</v>
      </c>
      <c r="F56" s="329" t="s">
        <v>102</v>
      </c>
      <c r="G56" s="329"/>
      <c r="H56" s="47">
        <v>2.5</v>
      </c>
      <c r="I56" s="47">
        <f>'LKE ZI'!L191</f>
        <v>2.5</v>
      </c>
      <c r="J56" s="65">
        <f t="shared" si="1"/>
        <v>1</v>
      </c>
      <c r="L56" s="49"/>
    </row>
    <row r="57" spans="1:15" s="9" customFormat="1">
      <c r="A57">
        <v>209</v>
      </c>
      <c r="B57" s="2"/>
      <c r="C57" s="19"/>
      <c r="D57" s="19"/>
      <c r="E57" s="48" t="s">
        <v>115</v>
      </c>
      <c r="F57" s="329" t="s">
        <v>103</v>
      </c>
      <c r="G57" s="329"/>
      <c r="H57" s="47">
        <v>2.5</v>
      </c>
      <c r="I57" s="47">
        <f>'LKE ZI'!L196</f>
        <v>2.5</v>
      </c>
      <c r="J57" s="65">
        <f t="shared" si="1"/>
        <v>1</v>
      </c>
      <c r="L57" s="49"/>
    </row>
    <row r="58" spans="1:15" s="15" customFormat="1" ht="18">
      <c r="A58">
        <v>211</v>
      </c>
      <c r="B58" s="331" t="s">
        <v>127</v>
      </c>
      <c r="C58" s="331"/>
      <c r="D58" s="331"/>
      <c r="E58" s="331"/>
      <c r="F58" s="331"/>
      <c r="G58" s="331"/>
      <c r="H58" s="331"/>
      <c r="I58" s="39">
        <f>'LKE ZI'!L198</f>
        <v>55.576190476190476</v>
      </c>
      <c r="J58" s="59">
        <f>I58/H3</f>
        <v>0.92626984126984124</v>
      </c>
      <c r="L58" s="23"/>
    </row>
    <row r="59" spans="1:15" customFormat="1" ht="15">
      <c r="A59">
        <v>212</v>
      </c>
      <c r="H59" s="56"/>
      <c r="I59" s="40"/>
      <c r="J59" s="66"/>
      <c r="L59" s="26"/>
    </row>
    <row r="60" spans="1:15" s="15" customFormat="1" ht="36">
      <c r="A60">
        <v>214</v>
      </c>
      <c r="B60" s="16" t="s">
        <v>13</v>
      </c>
      <c r="C60" s="332" t="s">
        <v>128</v>
      </c>
      <c r="D60" s="332"/>
      <c r="E60" s="332"/>
      <c r="F60" s="332"/>
      <c r="G60" s="332"/>
      <c r="H60" s="57">
        <v>40</v>
      </c>
      <c r="I60" s="39">
        <f>I66</f>
        <v>40</v>
      </c>
      <c r="J60" s="59"/>
      <c r="L60" s="23"/>
    </row>
    <row r="61" spans="1:15" s="14" customFormat="1" ht="18">
      <c r="A61">
        <v>215</v>
      </c>
      <c r="B61" s="17"/>
      <c r="C61" s="43" t="s">
        <v>1</v>
      </c>
      <c r="D61" s="330" t="s">
        <v>300</v>
      </c>
      <c r="E61" s="330"/>
      <c r="F61" s="330"/>
      <c r="G61" s="330"/>
      <c r="H61" s="44">
        <v>22.5</v>
      </c>
      <c r="I61" s="44">
        <f>'LKE ZI'!L201</f>
        <v>22.5</v>
      </c>
      <c r="J61" s="60">
        <f>I61/H61</f>
        <v>1</v>
      </c>
      <c r="L61" s="41"/>
    </row>
    <row r="62" spans="1:15" s="14" customFormat="1" ht="37.15" customHeight="1">
      <c r="A62"/>
      <c r="B62" s="50"/>
      <c r="C62" s="51"/>
      <c r="D62" s="76" t="s">
        <v>41</v>
      </c>
      <c r="E62" s="329" t="s">
        <v>228</v>
      </c>
      <c r="F62" s="329"/>
      <c r="G62" s="329"/>
      <c r="H62" s="53">
        <v>17.5</v>
      </c>
      <c r="I62" s="77">
        <f>'LKE ZI'!L202</f>
        <v>17.5</v>
      </c>
      <c r="J62" s="78">
        <f>I62/H62</f>
        <v>1</v>
      </c>
      <c r="L62" s="41"/>
    </row>
    <row r="63" spans="1:15" s="14" customFormat="1" ht="18">
      <c r="A63"/>
      <c r="B63" s="50"/>
      <c r="C63" s="51"/>
      <c r="D63" s="76" t="s">
        <v>42</v>
      </c>
      <c r="E63" s="329" t="s">
        <v>199</v>
      </c>
      <c r="F63" s="329"/>
      <c r="G63" s="329"/>
      <c r="H63" s="53">
        <v>5</v>
      </c>
      <c r="I63" s="77">
        <f>'LKE ZI'!L203</f>
        <v>5</v>
      </c>
      <c r="J63" s="78">
        <f>I63/H63</f>
        <v>1</v>
      </c>
      <c r="L63" s="41"/>
      <c r="M63" s="1"/>
      <c r="N63" s="1"/>
      <c r="O63" s="1"/>
    </row>
    <row r="64" spans="1:15" s="14" customFormat="1" ht="36">
      <c r="A64">
        <v>218</v>
      </c>
      <c r="B64" s="17"/>
      <c r="C64" s="43" t="s">
        <v>12</v>
      </c>
      <c r="D64" s="330" t="s">
        <v>301</v>
      </c>
      <c r="E64" s="330"/>
      <c r="F64" s="330"/>
      <c r="G64" s="330"/>
      <c r="H64" s="44">
        <v>17.5</v>
      </c>
      <c r="I64" s="44">
        <f>'LKE ZI'!L204</f>
        <v>17.5</v>
      </c>
      <c r="J64" s="60">
        <f>I64/H64</f>
        <v>1</v>
      </c>
      <c r="L64" s="41"/>
      <c r="M64" s="1"/>
      <c r="N64" s="1"/>
      <c r="O64" s="1"/>
    </row>
    <row r="65" spans="1:15" s="14" customFormat="1" ht="18">
      <c r="A65"/>
      <c r="B65" s="50"/>
      <c r="C65" s="51"/>
      <c r="D65" s="76" t="s">
        <v>120</v>
      </c>
      <c r="E65" s="329" t="s">
        <v>227</v>
      </c>
      <c r="F65" s="329"/>
      <c r="G65" s="329"/>
      <c r="H65" s="53">
        <v>17.5</v>
      </c>
      <c r="I65" s="77">
        <f>'LKE ZI'!L205</f>
        <v>17.5</v>
      </c>
      <c r="J65" s="78">
        <f>I65/H65</f>
        <v>1</v>
      </c>
      <c r="L65" s="41"/>
      <c r="M65" s="1"/>
      <c r="N65" s="1"/>
      <c r="O65" s="1"/>
    </row>
    <row r="66" spans="1:15" s="15" customFormat="1" ht="18">
      <c r="A66">
        <v>221</v>
      </c>
      <c r="B66" s="333" t="s">
        <v>23</v>
      </c>
      <c r="C66" s="333"/>
      <c r="D66" s="333"/>
      <c r="E66" s="333"/>
      <c r="F66" s="333"/>
      <c r="G66" s="333"/>
      <c r="H66" s="333"/>
      <c r="I66" s="39">
        <f>'LKE ZI'!L206</f>
        <v>40</v>
      </c>
      <c r="J66" s="59">
        <f>I66/H60</f>
        <v>1</v>
      </c>
      <c r="L66" s="23"/>
      <c r="M66" s="1"/>
      <c r="N66" s="1"/>
      <c r="O66" s="1"/>
    </row>
    <row r="67" spans="1:15" customFormat="1" ht="15">
      <c r="A67">
        <v>222</v>
      </c>
      <c r="H67" s="40"/>
      <c r="I67" s="40"/>
      <c r="J67" s="40"/>
    </row>
    <row r="68" spans="1:15" s="13" customFormat="1" ht="23.1" customHeight="1">
      <c r="A68">
        <v>223</v>
      </c>
      <c r="B68" s="327" t="s">
        <v>24</v>
      </c>
      <c r="C68" s="328"/>
      <c r="D68" s="328"/>
      <c r="E68" s="328"/>
      <c r="F68" s="328"/>
      <c r="G68" s="328"/>
      <c r="H68" s="328"/>
      <c r="I68" s="11">
        <f>'LKE ZI'!L208</f>
        <v>95.576190476190476</v>
      </c>
      <c r="J68" s="21"/>
      <c r="K68" s="12"/>
      <c r="L68" s="42"/>
      <c r="M68" s="1"/>
      <c r="N68" s="1"/>
      <c r="O68" s="1"/>
    </row>
    <row r="69" spans="1:15">
      <c r="M69" s="1"/>
      <c r="N69" s="1"/>
      <c r="O69" s="1"/>
    </row>
    <row r="70" spans="1:15">
      <c r="M70" s="1"/>
      <c r="N70" s="1"/>
      <c r="O70" s="1"/>
    </row>
    <row r="71" spans="1:15">
      <c r="M71" s="1"/>
      <c r="N71" s="1"/>
      <c r="O71" s="1"/>
    </row>
    <row r="72" spans="1:15">
      <c r="M72" s="1"/>
      <c r="N72" s="1"/>
      <c r="O72" s="1"/>
    </row>
    <row r="73" spans="1:15">
      <c r="M73" s="1"/>
      <c r="N73" s="1"/>
      <c r="O73" s="1"/>
    </row>
    <row r="74" spans="1:15">
      <c r="M74" s="1"/>
      <c r="N74" s="1"/>
      <c r="O74" s="1"/>
    </row>
    <row r="75" spans="1:15">
      <c r="M75" s="1"/>
      <c r="N75" s="1"/>
      <c r="O75" s="1"/>
    </row>
  </sheetData>
  <sheetProtection formatColumns="0" formatRows="0"/>
  <mergeCells count="65">
    <mergeCell ref="F7:G7"/>
    <mergeCell ref="B1:G1"/>
    <mergeCell ref="C3:G3"/>
    <mergeCell ref="D4:G4"/>
    <mergeCell ref="E5:G5"/>
    <mergeCell ref="F6:G6"/>
    <mergeCell ref="F19:G19"/>
    <mergeCell ref="F8:G8"/>
    <mergeCell ref="F9:G9"/>
    <mergeCell ref="E10:G10"/>
    <mergeCell ref="F11:G11"/>
    <mergeCell ref="F12:G12"/>
    <mergeCell ref="F13:G13"/>
    <mergeCell ref="E14:G14"/>
    <mergeCell ref="F15:G15"/>
    <mergeCell ref="F16:G16"/>
    <mergeCell ref="F17:G17"/>
    <mergeCell ref="F18:G18"/>
    <mergeCell ref="F26:G26"/>
    <mergeCell ref="F27:G27"/>
    <mergeCell ref="F28:G28"/>
    <mergeCell ref="F20:G20"/>
    <mergeCell ref="E21:G21"/>
    <mergeCell ref="F22:G22"/>
    <mergeCell ref="F23:G23"/>
    <mergeCell ref="E24:G24"/>
    <mergeCell ref="F25:G25"/>
    <mergeCell ref="F40:G40"/>
    <mergeCell ref="F29:G29"/>
    <mergeCell ref="E30:G30"/>
    <mergeCell ref="F31:G31"/>
    <mergeCell ref="F32:G32"/>
    <mergeCell ref="F33:G33"/>
    <mergeCell ref="D34:G34"/>
    <mergeCell ref="E35:G35"/>
    <mergeCell ref="F36:G36"/>
    <mergeCell ref="F37:G37"/>
    <mergeCell ref="F38:G38"/>
    <mergeCell ref="E39:G39"/>
    <mergeCell ref="E47:G47"/>
    <mergeCell ref="F48:G48"/>
    <mergeCell ref="F49:G49"/>
    <mergeCell ref="F50:G50"/>
    <mergeCell ref="F41:G41"/>
    <mergeCell ref="F42:G42"/>
    <mergeCell ref="E43:G43"/>
    <mergeCell ref="F44:G44"/>
    <mergeCell ref="F45:G45"/>
    <mergeCell ref="F46:G46"/>
    <mergeCell ref="F57:G57"/>
    <mergeCell ref="B58:H58"/>
    <mergeCell ref="C60:G60"/>
    <mergeCell ref="D61:G61"/>
    <mergeCell ref="E51:G51"/>
    <mergeCell ref="F52:G52"/>
    <mergeCell ref="F53:G53"/>
    <mergeCell ref="F54:G54"/>
    <mergeCell ref="E55:G55"/>
    <mergeCell ref="F56:G56"/>
    <mergeCell ref="B66:H66"/>
    <mergeCell ref="B68:H68"/>
    <mergeCell ref="D64:G64"/>
    <mergeCell ref="E62:G62"/>
    <mergeCell ref="E63:G63"/>
    <mergeCell ref="E65:G65"/>
  </mergeCells>
  <pageMargins left="2.3622047244094491" right="0.9055118110236221" top="0.74803149606299213" bottom="0.74803149606299213" header="0.31496062992125984" footer="0.31496062992125984"/>
  <pageSetup paperSize="5" scale="6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22"/>
  <sheetViews>
    <sheetView tabSelected="1" topLeftCell="B1" zoomScale="70" zoomScaleNormal="70" zoomScaleSheetLayoutView="70" workbookViewId="0">
      <selection activeCell="I2" sqref="I2"/>
    </sheetView>
  </sheetViews>
  <sheetFormatPr defaultColWidth="9.28515625" defaultRowHeight="15.75"/>
  <cols>
    <col min="1" max="1" width="6.140625" hidden="1" customWidth="1"/>
    <col min="2" max="2" width="4" style="32" bestFit="1" customWidth="1"/>
    <col min="3" max="3" width="5.28515625" style="33" bestFit="1" customWidth="1"/>
    <col min="4" max="4" width="3.42578125" style="33" bestFit="1" customWidth="1"/>
    <col min="5" max="5" width="4.42578125" style="33" customWidth="1"/>
    <col min="6" max="6" width="3.28515625" style="34" bestFit="1" customWidth="1"/>
    <col min="7" max="7" width="52.28515625" style="35" customWidth="1"/>
    <col min="8" max="8" width="10" style="58" bestFit="1" customWidth="1"/>
    <col min="9" max="9" width="62.28515625" style="75" customWidth="1"/>
    <col min="10" max="10" width="33.28515625" style="36" hidden="1" customWidth="1"/>
    <col min="11" max="11" width="18.42578125" style="36" customWidth="1"/>
    <col min="12" max="12" width="16.28515625" style="36" customWidth="1"/>
    <col min="13" max="13" width="22.140625" style="67" customWidth="1"/>
    <col min="14" max="14" width="5" style="4" customWidth="1"/>
    <col min="15" max="15" width="59.5703125" style="252" bestFit="1" customWidth="1"/>
    <col min="16" max="16" width="59.5703125" style="303" customWidth="1"/>
    <col min="17" max="17" width="46.85546875" style="4" customWidth="1"/>
    <col min="18" max="16384" width="9.28515625" style="4"/>
  </cols>
  <sheetData>
    <row r="1" spans="1:17" ht="99.6" customHeight="1">
      <c r="B1" s="325" t="s">
        <v>366</v>
      </c>
      <c r="C1" s="326"/>
      <c r="D1" s="326"/>
      <c r="E1" s="326"/>
      <c r="F1" s="326"/>
      <c r="G1" s="326"/>
      <c r="H1" s="326"/>
      <c r="I1" s="326"/>
      <c r="J1" s="326"/>
      <c r="K1" s="326"/>
      <c r="L1" s="326"/>
      <c r="M1" s="326"/>
      <c r="N1" s="326"/>
      <c r="O1" s="326"/>
      <c r="P1" s="268"/>
    </row>
    <row r="2" spans="1:17" s="73" customFormat="1" ht="40.5">
      <c r="A2" s="10">
        <v>1</v>
      </c>
      <c r="B2" s="323" t="s">
        <v>106</v>
      </c>
      <c r="C2" s="323"/>
      <c r="D2" s="323"/>
      <c r="E2" s="323"/>
      <c r="F2" s="323"/>
      <c r="G2" s="323"/>
      <c r="H2" s="113" t="s">
        <v>107</v>
      </c>
      <c r="I2" s="114" t="s">
        <v>108</v>
      </c>
      <c r="J2" s="114" t="s">
        <v>20</v>
      </c>
      <c r="K2" s="114" t="s">
        <v>19</v>
      </c>
      <c r="L2" s="114" t="s">
        <v>21</v>
      </c>
      <c r="M2" s="115" t="s">
        <v>22</v>
      </c>
      <c r="N2" s="116"/>
      <c r="O2" s="115" t="s">
        <v>109</v>
      </c>
      <c r="P2" s="269"/>
    </row>
    <row r="3" spans="1:17" s="8" customFormat="1">
      <c r="A3">
        <v>2</v>
      </c>
      <c r="B3" s="5"/>
      <c r="C3" s="5"/>
      <c r="D3" s="5"/>
      <c r="E3" s="5"/>
      <c r="F3" s="5"/>
      <c r="G3" s="5"/>
      <c r="H3" s="20"/>
      <c r="I3" s="74"/>
      <c r="J3" s="6"/>
      <c r="K3" s="6"/>
      <c r="L3" s="6"/>
      <c r="M3" s="22"/>
      <c r="N3" s="7"/>
      <c r="O3" s="79"/>
      <c r="P3" s="270"/>
    </row>
    <row r="4" spans="1:17" s="15" customFormat="1" ht="36">
      <c r="A4">
        <v>3</v>
      </c>
      <c r="B4" s="83" t="s">
        <v>0</v>
      </c>
      <c r="C4" s="324" t="s">
        <v>105</v>
      </c>
      <c r="D4" s="324"/>
      <c r="E4" s="324"/>
      <c r="F4" s="324"/>
      <c r="G4" s="324"/>
      <c r="H4" s="84">
        <v>60</v>
      </c>
      <c r="I4" s="85"/>
      <c r="J4" s="86"/>
      <c r="K4" s="86"/>
      <c r="L4" s="86">
        <f>L198</f>
        <v>55.576190476190476</v>
      </c>
      <c r="M4" s="87">
        <f>L4/H4</f>
        <v>0.92626984126984124</v>
      </c>
      <c r="O4" s="88"/>
      <c r="P4" s="271"/>
    </row>
    <row r="5" spans="1:17" s="14" customFormat="1" ht="18">
      <c r="A5">
        <v>4</v>
      </c>
      <c r="B5" s="89"/>
      <c r="C5" s="89" t="s">
        <v>1</v>
      </c>
      <c r="D5" s="321" t="s">
        <v>110</v>
      </c>
      <c r="E5" s="321"/>
      <c r="F5" s="321"/>
      <c r="G5" s="321"/>
      <c r="H5" s="90">
        <v>30</v>
      </c>
      <c r="I5" s="91"/>
      <c r="J5" s="90"/>
      <c r="K5" s="90"/>
      <c r="L5" s="90">
        <f>SUM(L6,L23,L36,L61,L75,L100)</f>
        <v>30</v>
      </c>
      <c r="M5" s="92">
        <f>L5/H5</f>
        <v>1</v>
      </c>
      <c r="O5" s="93"/>
      <c r="P5" s="272"/>
    </row>
    <row r="6" spans="1:17" s="9" customFormat="1">
      <c r="A6">
        <v>5</v>
      </c>
      <c r="B6" s="94"/>
      <c r="C6" s="95"/>
      <c r="D6" s="96" t="s">
        <v>14</v>
      </c>
      <c r="E6" s="320" t="s">
        <v>43</v>
      </c>
      <c r="F6" s="320"/>
      <c r="G6" s="320"/>
      <c r="H6" s="97">
        <v>4</v>
      </c>
      <c r="I6" s="98"/>
      <c r="J6" s="97"/>
      <c r="K6" s="97"/>
      <c r="L6" s="97">
        <f>SUM(L7,L10,L14,L18)</f>
        <v>4</v>
      </c>
      <c r="M6" s="99">
        <f>L6/H6</f>
        <v>1</v>
      </c>
      <c r="O6" s="100"/>
      <c r="P6" s="273"/>
    </row>
    <row r="7" spans="1:17" s="9" customFormat="1">
      <c r="A7">
        <v>6</v>
      </c>
      <c r="B7" s="101"/>
      <c r="C7" s="102"/>
      <c r="D7" s="102"/>
      <c r="E7" s="28" t="s">
        <v>111</v>
      </c>
      <c r="F7" s="320" t="s">
        <v>331</v>
      </c>
      <c r="G7" s="320"/>
      <c r="H7" s="103">
        <v>0.5</v>
      </c>
      <c r="I7" s="104"/>
      <c r="J7" s="103"/>
      <c r="K7" s="103"/>
      <c r="L7" s="103">
        <f>AVERAGE(L8:L9)*H7</f>
        <v>0.5</v>
      </c>
      <c r="M7" s="105">
        <f>L7/H7</f>
        <v>1</v>
      </c>
      <c r="O7" s="106"/>
      <c r="P7" s="274"/>
    </row>
    <row r="8" spans="1:17" s="1" customFormat="1" ht="120" customHeight="1">
      <c r="A8">
        <v>7</v>
      </c>
      <c r="B8" s="27"/>
      <c r="C8" s="28"/>
      <c r="D8" s="28"/>
      <c r="E8" s="28"/>
      <c r="F8" s="29" t="s">
        <v>2</v>
      </c>
      <c r="G8" s="2" t="s">
        <v>200</v>
      </c>
      <c r="H8" s="47"/>
      <c r="I8" s="107" t="s">
        <v>36</v>
      </c>
      <c r="J8" s="108" t="s">
        <v>39</v>
      </c>
      <c r="K8" s="109" t="s">
        <v>39</v>
      </c>
      <c r="L8" s="31" t="str">
        <f>IF(J8="Ya/Tidak",IF(K8="Ya",1,IF(K8="Tidak",0,"Blm Diisi")),IF(J8="A/B/C",IF(K8="A",1,IF(K8="B",0.5,IF(K8="C",0,"Blm Diisi"))),IF(J8="A/B/C/D",IF(K8="A",1,IF(K8="B",0.67,IF(K8="C",0.33,IF(K8="D",0,"Blm Diisi")))),IF(J8="A/B/C/D/E",IF(K8="A",1,IF(K8="B",0.75,IF(K8="C",0.5,IF(K8="D",0.25,IF(K8="E",0,"Blm Diisi"))))),IF(J8="%",IF(K8="","Blm Diisi",K8),IF(J8="Jumlah",IF(K8="","Blm Diisi",""),IF(J8="Rupiah",IF(K8="","Blm Diisi",""),IF(J8="","","-"))))))))</f>
        <v>-</v>
      </c>
      <c r="M8" s="68"/>
      <c r="O8" s="248" t="s">
        <v>370</v>
      </c>
      <c r="P8" s="275" t="s">
        <v>600</v>
      </c>
      <c r="Q8" s="259" t="s">
        <v>487</v>
      </c>
    </row>
    <row r="9" spans="1:17" s="1" customFormat="1" ht="409.5">
      <c r="A9">
        <v>8</v>
      </c>
      <c r="B9" s="27"/>
      <c r="C9" s="28"/>
      <c r="D9" s="28"/>
      <c r="E9" s="28"/>
      <c r="F9" s="29" t="s">
        <v>4</v>
      </c>
      <c r="G9" s="2" t="s">
        <v>202</v>
      </c>
      <c r="H9" s="47"/>
      <c r="I9" s="119" t="s">
        <v>145</v>
      </c>
      <c r="J9" s="108" t="s">
        <v>3</v>
      </c>
      <c r="K9" s="109" t="s">
        <v>40</v>
      </c>
      <c r="L9" s="31">
        <f>IF(J9="Ya/Tidak",IF(K9="Ya",1,IF(K9="Tidak",0,"Blm Diisi")),IF(J9="A/B/C",IF(K9="A",1,IF(K9="B",0.5,IF(K9="C",0,"Blm Diisi"))),IF(J9="A/B/C/D",IF(K9="A",1,IF(K9="B",0.67,IF(K9="C",0.33,IF(K9="D",0,"Blm Diisi")))),IF(J9="A/B/C/D/E",IF(K9="A",1,IF(K9="B",0.75,IF(K9="C",0.5,IF(K9="D",0.25,IF(K9="E",0,"Blm Diisi"))))),IF(J9="%",IF(K9="","Blm Diisi",K9),IF(J9="Jumlah",IF(K9="","Blm Diisi",""),IF(J9="Rupiah",IF(K9="","Blm Diisi",""),IF(J9="","","-"))))))))</f>
        <v>1</v>
      </c>
      <c r="M9" s="68"/>
      <c r="O9" s="248" t="s">
        <v>369</v>
      </c>
      <c r="P9" s="276" t="s">
        <v>628</v>
      </c>
      <c r="Q9" s="259" t="s">
        <v>488</v>
      </c>
    </row>
    <row r="10" spans="1:17" s="9" customFormat="1">
      <c r="A10">
        <v>9</v>
      </c>
      <c r="B10" s="101"/>
      <c r="C10" s="102"/>
      <c r="D10" s="102"/>
      <c r="E10" s="28" t="s">
        <v>115</v>
      </c>
      <c r="F10" s="320" t="s">
        <v>59</v>
      </c>
      <c r="G10" s="320"/>
      <c r="H10" s="103">
        <v>1</v>
      </c>
      <c r="I10" s="104"/>
      <c r="J10" s="103"/>
      <c r="K10" s="103"/>
      <c r="L10" s="103">
        <f>AVERAGE(L11:L13)*H10</f>
        <v>1</v>
      </c>
      <c r="M10" s="105">
        <f>L10/H10</f>
        <v>1</v>
      </c>
      <c r="O10" s="106"/>
      <c r="P10" s="274"/>
    </row>
    <row r="11" spans="1:17" s="1" customFormat="1" ht="299.25">
      <c r="A11">
        <v>10</v>
      </c>
      <c r="B11" s="27"/>
      <c r="C11" s="28"/>
      <c r="D11" s="28"/>
      <c r="E11" s="28"/>
      <c r="F11" s="29" t="s">
        <v>2</v>
      </c>
      <c r="G11" s="2" t="s">
        <v>201</v>
      </c>
      <c r="H11" s="47"/>
      <c r="I11" s="2" t="s">
        <v>38</v>
      </c>
      <c r="J11" s="108" t="s">
        <v>133</v>
      </c>
      <c r="K11" s="109" t="s">
        <v>39</v>
      </c>
      <c r="L11" s="31">
        <f>IF(J11="Ya/Tidak",IF(K11="Ya",1,IF(K11="Tidak",0,"Blm Diisi")),IF(J11="A/B/C",IF(K11="A",1,IF(K11="B",0.5,IF(K11="C",0,"Blm Diisi"))),IF(J11="A/B/C/D",IF(K11="A",1,IF(K11="B",0.67,IF(K11="C",0.33,IF(K11="D",0,"Blm Diisi")))),IF(J11="A/B/C/D/E",IF(K11="A",1,IF(K11="B",0.75,IF(K11="C",0.5,IF(K11="D",0.25,IF(K11="E",0,"Blm Diisi"))))),IF(J11="%",IF(K11="","Blm Diisi",K11),IF(J11="Jumlah",IF(K11="","Blm Diisi",""),IF(J11="Rupiah",IF(K11="","Blm Diisi",""),IF(J11="","","-"))))))))</f>
        <v>1</v>
      </c>
      <c r="M11" s="68"/>
      <c r="O11" s="248" t="s">
        <v>371</v>
      </c>
      <c r="P11" s="265" t="s">
        <v>598</v>
      </c>
      <c r="Q11" s="258" t="s">
        <v>489</v>
      </c>
    </row>
    <row r="12" spans="1:17" s="1" customFormat="1" ht="126">
      <c r="A12">
        <v>11</v>
      </c>
      <c r="B12" s="27"/>
      <c r="C12" s="28"/>
      <c r="D12" s="28"/>
      <c r="E12" s="28"/>
      <c r="F12" s="29" t="s">
        <v>4</v>
      </c>
      <c r="G12" s="3" t="s">
        <v>203</v>
      </c>
      <c r="H12" s="47"/>
      <c r="I12" s="119" t="s">
        <v>146</v>
      </c>
      <c r="J12" s="108" t="s">
        <v>3</v>
      </c>
      <c r="K12" s="109" t="s">
        <v>40</v>
      </c>
      <c r="L12" s="31">
        <f>IF(J12="Ya/Tidak",IF(K12="Ya",1,IF(K12="Tidak",0,"Blm Diisi")),IF(J12="A/B/C",IF(K12="A",1,IF(K12="B",0.5,IF(K12="C",0,"Blm Diisi"))),IF(J12="A/B/C/D",IF(K12="A",1,IF(K12="B",0.67,IF(K12="C",0.33,IF(K12="D",0,"Blm Diisi")))),IF(J12="A/B/C/D/E",IF(K12="A",1,IF(K12="B",0.75,IF(K12="C",0.5,IF(K12="D",0.25,IF(K12="E",0,"Blm Diisi"))))),IF(J12="%",IF(K12="","Blm Diisi",K12),IF(J12="Jumlah",IF(K12="","Blm Diisi",""),IF(J12="Rupiah",IF(K12="","Blm Diisi",""),IF(J12="","","-"))))))))</f>
        <v>1</v>
      </c>
      <c r="M12" s="68"/>
      <c r="O12" s="248" t="s">
        <v>372</v>
      </c>
      <c r="P12" s="277" t="s">
        <v>572</v>
      </c>
      <c r="Q12" s="259" t="s">
        <v>490</v>
      </c>
    </row>
    <row r="13" spans="1:17" s="1" customFormat="1" ht="362.25">
      <c r="A13">
        <v>12</v>
      </c>
      <c r="B13" s="27"/>
      <c r="C13" s="28"/>
      <c r="D13" s="28"/>
      <c r="E13" s="28"/>
      <c r="F13" s="29" t="s">
        <v>6</v>
      </c>
      <c r="G13" s="2" t="s">
        <v>204</v>
      </c>
      <c r="H13" s="47"/>
      <c r="I13" s="119" t="s">
        <v>150</v>
      </c>
      <c r="J13" s="108" t="s">
        <v>3</v>
      </c>
      <c r="K13" s="109" t="s">
        <v>40</v>
      </c>
      <c r="L13" s="31">
        <f>IF(J13="Ya/Tidak",IF(K13="Ya",1,IF(K13="Tidak",0,"Blm Diisi")),IF(J13="A/B/C",IF(K13="A",1,IF(K13="B",0.5,IF(K13="C",0,"Blm Diisi"))),IF(J13="A/B/C/D",IF(K13="A",1,IF(K13="B",0.67,IF(K13="C",0.33,IF(K13="D",0,"Blm Diisi")))),IF(J13="A/B/C/D/E",IF(K13="A",1,IF(K13="B",0.75,IF(K13="C",0.5,IF(K13="D",0.25,IF(K13="E",0,"Blm Diisi"))))),IF(J13="%",IF(K13="","Blm Diisi",K13),IF(J13="Jumlah",IF(K13="","Blm Diisi",""),IF(J13="Rupiah",IF(K13="","Blm Diisi",""),IF(J13="","","-"))))))))</f>
        <v>1</v>
      </c>
      <c r="M13" s="68"/>
      <c r="O13" s="248" t="s">
        <v>373</v>
      </c>
      <c r="P13" s="278" t="s">
        <v>599</v>
      </c>
      <c r="Q13" s="259" t="s">
        <v>491</v>
      </c>
    </row>
    <row r="14" spans="1:17" s="9" customFormat="1">
      <c r="A14">
        <v>13</v>
      </c>
      <c r="B14" s="101"/>
      <c r="C14" s="102"/>
      <c r="D14" s="102"/>
      <c r="E14" s="28" t="s">
        <v>116</v>
      </c>
      <c r="F14" s="320" t="s">
        <v>60</v>
      </c>
      <c r="G14" s="320"/>
      <c r="H14" s="103">
        <v>1</v>
      </c>
      <c r="I14" s="104"/>
      <c r="J14" s="103"/>
      <c r="K14" s="103"/>
      <c r="L14" s="103">
        <f>AVERAGE(L15:L17)*H14</f>
        <v>1</v>
      </c>
      <c r="M14" s="105">
        <f>L14/H14</f>
        <v>1</v>
      </c>
      <c r="O14" s="106"/>
      <c r="P14" s="274"/>
    </row>
    <row r="15" spans="1:17" s="1" customFormat="1" ht="126">
      <c r="A15">
        <v>14</v>
      </c>
      <c r="B15" s="27"/>
      <c r="C15" s="28"/>
      <c r="D15" s="28"/>
      <c r="E15" s="28"/>
      <c r="F15" s="29" t="s">
        <v>2</v>
      </c>
      <c r="G15" s="2" t="s">
        <v>205</v>
      </c>
      <c r="H15" s="47"/>
      <c r="I15" s="119" t="s">
        <v>143</v>
      </c>
      <c r="J15" s="30" t="s">
        <v>9</v>
      </c>
      <c r="K15" s="109" t="s">
        <v>40</v>
      </c>
      <c r="L15" s="31">
        <f>IF(J15="Ya/Tidak",IF(K15="Ya",1,IF(K15="Tidak",0,"Blm Diisi")),IF(J15="A/B/C",IF(K15="A",1,IF(K15="B",0.5,IF(K15="C",0,"Blm Diisi"))),IF(J15="A/B/C/D",IF(K15="A",1,IF(K15="B",0.67,IF(K15="C",0.33,IF(K15="D",0,"Blm Diisi")))),IF(J15="A/B/C/D/E",IF(K15="A",1,IF(K15="B",0.75,IF(K15="C",0.5,IF(K15="D",0.25,IF(K15="E",0,"Blm Diisi"))))),IF(J15="%",IF(K15="","Blm Diisi",K15),IF(J15="Jumlah",IF(K15="","Blm Diisi",""),IF(J15="Rupiah",IF(K15="","Blm Diisi",""),IF(J15="","","-"))))))))</f>
        <v>1</v>
      </c>
      <c r="M15" s="68"/>
      <c r="O15" s="248" t="s">
        <v>374</v>
      </c>
      <c r="P15" s="265" t="s">
        <v>601</v>
      </c>
      <c r="Q15" s="259" t="s">
        <v>492</v>
      </c>
    </row>
    <row r="16" spans="1:17" s="1" customFormat="1" ht="126">
      <c r="A16" s="121">
        <v>15</v>
      </c>
      <c r="B16" s="27"/>
      <c r="C16" s="28"/>
      <c r="D16" s="28"/>
      <c r="E16" s="28"/>
      <c r="F16" s="29" t="s">
        <v>4</v>
      </c>
      <c r="G16" s="2" t="s">
        <v>206</v>
      </c>
      <c r="H16" s="47"/>
      <c r="I16" s="119" t="s">
        <v>144</v>
      </c>
      <c r="J16" s="30" t="s">
        <v>9</v>
      </c>
      <c r="K16" s="109" t="s">
        <v>40</v>
      </c>
      <c r="L16" s="31">
        <f>IF(J16="Ya/Tidak",IF(K16="Ya",1,IF(K16="Tidak",0,"Blm Diisi")),IF(J16="A/B/C",IF(K16="A",1,IF(K16="B",0.5,IF(K16="C",0,"Blm Diisi"))),IF(J16="A/B/C/D",IF(K16="A",1,IF(K16="B",0.67,IF(K16="C",0.33,IF(K16="D",0,"Blm Diisi")))),IF(J16="A/B/C/D/E",IF(K16="A",1,IF(K16="B",0.75,IF(K16="C",0.5,IF(K16="D",0.25,IF(K16="E",0,"Blm Diisi"))))),IF(J16="%",IF(K16="","Blm Diisi",K16),IF(J16="Jumlah",IF(K16="","Blm Diisi",""),IF(J16="Rupiah",IF(K16="","Blm Diisi",""),IF(J16="","","-"))))))))</f>
        <v>1</v>
      </c>
      <c r="M16" s="68"/>
      <c r="N16" s="122"/>
      <c r="O16" s="248" t="s">
        <v>375</v>
      </c>
      <c r="P16" s="279" t="s">
        <v>573</v>
      </c>
      <c r="Q16" s="259" t="s">
        <v>493</v>
      </c>
    </row>
    <row r="17" spans="1:17" s="1" customFormat="1" ht="267.75">
      <c r="A17">
        <v>16</v>
      </c>
      <c r="B17" s="27"/>
      <c r="C17" s="28"/>
      <c r="D17" s="28"/>
      <c r="E17" s="28"/>
      <c r="F17" s="29" t="s">
        <v>6</v>
      </c>
      <c r="G17" s="2" t="s">
        <v>207</v>
      </c>
      <c r="H17" s="47"/>
      <c r="I17" s="119" t="s">
        <v>171</v>
      </c>
      <c r="J17" s="30" t="s">
        <v>9</v>
      </c>
      <c r="K17" s="109" t="s">
        <v>40</v>
      </c>
      <c r="L17" s="31">
        <f>IF(J17="Ya/Tidak",IF(K17="Ya",1,IF(K17="Tidak",0,"Blm Diisi")),IF(J17="A/B/C",IF(K17="A",1,IF(K17="B",0.5,IF(K17="C",0,"Blm Diisi"))),IF(J17="A/B/C/D",IF(K17="A",1,IF(K17="B",0.67,IF(K17="C",0.33,IF(K17="D",0,"Blm Diisi")))),IF(J17="A/B/C/D/E",IF(K17="A",1,IF(K17="B",0.75,IF(K17="C",0.5,IF(K17="D",0.25,IF(K17="E",0,"Blm Diisi"))))),IF(J17="%",IF(K17="","Blm Diisi",K17),IF(J17="Jumlah",IF(K17="","Blm Diisi",""),IF(J17="Rupiah",IF(K17="","Blm Diisi",""),IF(J17="","","-"))))))))</f>
        <v>1</v>
      </c>
      <c r="M17" s="68"/>
      <c r="N17" s="123"/>
      <c r="O17" s="248" t="s">
        <v>376</v>
      </c>
      <c r="P17" s="279" t="s">
        <v>602</v>
      </c>
      <c r="Q17" s="259" t="s">
        <v>494</v>
      </c>
    </row>
    <row r="18" spans="1:17" s="9" customFormat="1">
      <c r="A18">
        <v>17</v>
      </c>
      <c r="B18" s="101"/>
      <c r="C18" s="102"/>
      <c r="D18" s="102"/>
      <c r="E18" s="28" t="s">
        <v>117</v>
      </c>
      <c r="F18" s="320" t="s">
        <v>61</v>
      </c>
      <c r="G18" s="320"/>
      <c r="H18" s="103">
        <v>1.5</v>
      </c>
      <c r="I18" s="104"/>
      <c r="J18" s="103"/>
      <c r="K18" s="103"/>
      <c r="L18" s="103">
        <f>AVERAGE(L19:L22)*H18</f>
        <v>1.5</v>
      </c>
      <c r="M18" s="105">
        <f>L18/H18</f>
        <v>1</v>
      </c>
      <c r="O18" s="106"/>
      <c r="P18" s="274"/>
    </row>
    <row r="19" spans="1:17" s="1" customFormat="1" ht="47.25">
      <c r="A19">
        <v>18</v>
      </c>
      <c r="B19" s="27"/>
      <c r="C19" s="28"/>
      <c r="D19" s="28"/>
      <c r="E19" s="28"/>
      <c r="F19" s="29" t="s">
        <v>2</v>
      </c>
      <c r="G19" s="2" t="s">
        <v>208</v>
      </c>
      <c r="H19" s="47"/>
      <c r="I19" s="2" t="s">
        <v>37</v>
      </c>
      <c r="J19" s="108" t="s">
        <v>133</v>
      </c>
      <c r="K19" s="109" t="s">
        <v>39</v>
      </c>
      <c r="L19" s="31">
        <f>IF(J19="Ya/Tidak",IF(K19="Ya",1,IF(K19="Tidak",0,"Blm Diisi")),IF(J19="A/B/C",IF(K19="A",1,IF(K19="B",0.5,IF(K19="C",0,"Blm Diisi"))),IF(J19="A/B/C/D",IF(K19="A",1,IF(K19="B",0.67,IF(K19="C",0.33,IF(K19="D",0,"Blm Diisi")))),IF(J19="A/B/C/D/E",IF(K19="A",1,IF(K19="B",0.75,IF(K19="C",0.5,IF(K19="D",0.25,IF(K19="E",0,"Blm Diisi"))))),IF(J19="%",IF(K19="","Blm Diisi",K19),IF(J19="Jumlah",IF(K19="","Blm Diisi",""),IF(J19="Rupiah",IF(K19="","Blm Diisi",""),IF(J19="","","-"))))))))</f>
        <v>1</v>
      </c>
      <c r="M19" s="68"/>
      <c r="O19" s="248" t="s">
        <v>377</v>
      </c>
      <c r="P19" s="280" t="s">
        <v>574</v>
      </c>
      <c r="Q19" s="259" t="s">
        <v>495</v>
      </c>
    </row>
    <row r="20" spans="1:17" s="1" customFormat="1" ht="236.25">
      <c r="A20">
        <v>19</v>
      </c>
      <c r="B20" s="27"/>
      <c r="C20" s="28"/>
      <c r="D20" s="28"/>
      <c r="E20" s="28"/>
      <c r="F20" s="29" t="s">
        <v>4</v>
      </c>
      <c r="G20" s="2" t="s">
        <v>209</v>
      </c>
      <c r="H20" s="47"/>
      <c r="I20" s="119" t="s">
        <v>147</v>
      </c>
      <c r="J20" s="108" t="s">
        <v>3</v>
      </c>
      <c r="K20" s="109" t="s">
        <v>40</v>
      </c>
      <c r="L20" s="31">
        <f>IF(J20="Ya/Tidak",IF(K20="Ya",1,IF(K20="Tidak",0,"Blm Diisi")),IF(J20="A/B/C",IF(K20="A",1,IF(K20="B",0.5,IF(K20="C",0,"Blm Diisi"))),IF(J20="A/B/C/D",IF(K20="A",1,IF(K20="B",0.67,IF(K20="C",0.33,IF(K20="D",0,"Blm Diisi")))),IF(J20="A/B/C/D/E",IF(K20="A",1,IF(K20="B",0.75,IF(K20="C",0.5,IF(K20="D",0.25,IF(K20="E",0,"Blm Diisi"))))),IF(J20="%",IF(K20="","Blm Diisi",K20),IF(J20="Jumlah",IF(K20="","Blm Diisi",""),IF(J20="Rupiah",IF(K20="","Blm Diisi",""),IF(J20="","","-"))))))))</f>
        <v>1</v>
      </c>
      <c r="M20" s="68"/>
      <c r="O20" s="248" t="s">
        <v>378</v>
      </c>
      <c r="P20" s="281" t="s">
        <v>603</v>
      </c>
      <c r="Q20" s="259" t="s">
        <v>496</v>
      </c>
    </row>
    <row r="21" spans="1:17" s="1" customFormat="1" ht="283.5">
      <c r="A21">
        <v>20</v>
      </c>
      <c r="B21" s="27"/>
      <c r="C21" s="28"/>
      <c r="D21" s="28"/>
      <c r="E21" s="28"/>
      <c r="F21" s="29" t="s">
        <v>6</v>
      </c>
      <c r="G21" s="2" t="s">
        <v>210</v>
      </c>
      <c r="H21" s="47"/>
      <c r="I21" s="119" t="s">
        <v>148</v>
      </c>
      <c r="J21" s="108" t="s">
        <v>3</v>
      </c>
      <c r="K21" s="109" t="s">
        <v>40</v>
      </c>
      <c r="L21" s="31">
        <f>IF(J21="Ya/Tidak",IF(K21="Ya",1,IF(K21="Tidak",0,"Blm Diisi")),IF(J21="A/B/C",IF(K21="A",1,IF(K21="B",0.5,IF(K21="C",0,"Blm Diisi"))),IF(J21="A/B/C/D",IF(K21="A",1,IF(K21="B",0.67,IF(K21="C",0.33,IF(K21="D",0,"Blm Diisi")))),IF(J21="A/B/C/D/E",IF(K21="A",1,IF(K21="B",0.75,IF(K21="C",0.5,IF(K21="D",0.25,IF(K21="E",0,"Blm Diisi"))))),IF(J21="%",IF(K21="","Blm Diisi",K21),IF(J21="Jumlah",IF(K21="","Blm Diisi",""),IF(J21="Rupiah",IF(K21="","Blm Diisi",""),IF(J21="","","-"))))))))</f>
        <v>1</v>
      </c>
      <c r="M21" s="68"/>
      <c r="O21" s="248" t="s">
        <v>379</v>
      </c>
      <c r="P21" s="279" t="s">
        <v>575</v>
      </c>
      <c r="Q21" s="259" t="s">
        <v>497</v>
      </c>
    </row>
    <row r="22" spans="1:17" s="1" customFormat="1" ht="157.5" customHeight="1">
      <c r="A22">
        <v>21</v>
      </c>
      <c r="B22" s="27"/>
      <c r="C22" s="28"/>
      <c r="D22" s="28"/>
      <c r="E22" s="28"/>
      <c r="F22" s="29" t="s">
        <v>7</v>
      </c>
      <c r="G22" s="3" t="s">
        <v>211</v>
      </c>
      <c r="H22" s="47"/>
      <c r="I22" s="119" t="s">
        <v>172</v>
      </c>
      <c r="J22" s="30" t="s">
        <v>9</v>
      </c>
      <c r="K22" s="109" t="s">
        <v>40</v>
      </c>
      <c r="L22" s="31">
        <f>IF(J22="Ya/Tidak",IF(K22="Ya",1,IF(K22="Tidak",0,"Blm Diisi")),IF(J22="A/B/C",IF(K22="A",1,IF(K22="B",0.5,IF(K22="C",0,"Blm Diisi"))),IF(J22="A/B/C/D",IF(K22="A",1,IF(K22="B",0.67,IF(K22="C",0.33,IF(K22="D",0,"Blm Diisi")))),IF(J22="A/B/C/D/E",IF(K22="A",1,IF(K22="B",0.75,IF(K22="C",0.5,IF(K22="D",0.25,IF(K22="E",0,"Blm Diisi"))))),IF(J22="%",IF(K22="","Blm Diisi",K22),IF(J22="Jumlah",IF(K22="","Blm Diisi",""),IF(J22="Rupiah",IF(K22="","Blm Diisi",""),IF(J22="","","-"))))))))</f>
        <v>1</v>
      </c>
      <c r="M22" s="68"/>
      <c r="O22" s="248" t="s">
        <v>380</v>
      </c>
      <c r="P22" s="279" t="s">
        <v>604</v>
      </c>
      <c r="Q22" s="259" t="s">
        <v>498</v>
      </c>
    </row>
    <row r="23" spans="1:17" s="9" customFormat="1" ht="31.5">
      <c r="A23">
        <v>22</v>
      </c>
      <c r="B23" s="94"/>
      <c r="C23" s="110"/>
      <c r="D23" s="96" t="s">
        <v>15</v>
      </c>
      <c r="E23" s="320" t="s">
        <v>45</v>
      </c>
      <c r="F23" s="320"/>
      <c r="G23" s="320"/>
      <c r="H23" s="97">
        <v>3.5</v>
      </c>
      <c r="I23" s="98"/>
      <c r="J23" s="97"/>
      <c r="K23" s="97"/>
      <c r="L23" s="97">
        <f>SUM(L24,L28,L33)</f>
        <v>3.5</v>
      </c>
      <c r="M23" s="99">
        <f>L23/H23</f>
        <v>1</v>
      </c>
      <c r="O23" s="100"/>
      <c r="P23" s="273"/>
    </row>
    <row r="24" spans="1:17" s="9" customFormat="1">
      <c r="A24">
        <v>23</v>
      </c>
      <c r="B24" s="101"/>
      <c r="C24" s="102"/>
      <c r="D24" s="102"/>
      <c r="E24" s="28" t="s">
        <v>111</v>
      </c>
      <c r="F24" s="320" t="s">
        <v>212</v>
      </c>
      <c r="G24" s="320"/>
      <c r="H24" s="103">
        <v>1</v>
      </c>
      <c r="I24" s="104"/>
      <c r="J24" s="103"/>
      <c r="K24" s="103"/>
      <c r="L24" s="103">
        <f>AVERAGE(L25:L27)*H24</f>
        <v>1</v>
      </c>
      <c r="M24" s="105">
        <f>L24/H24</f>
        <v>1</v>
      </c>
      <c r="O24" s="106"/>
      <c r="P24" s="274"/>
    </row>
    <row r="25" spans="1:17" s="1" customFormat="1" ht="126">
      <c r="A25">
        <v>24</v>
      </c>
      <c r="B25" s="27"/>
      <c r="C25" s="28"/>
      <c r="D25" s="28"/>
      <c r="E25" s="28"/>
      <c r="F25" s="29" t="s">
        <v>2</v>
      </c>
      <c r="G25" s="2" t="s">
        <v>213</v>
      </c>
      <c r="H25" s="47"/>
      <c r="I25" s="119" t="s">
        <v>173</v>
      </c>
      <c r="J25" s="30" t="s">
        <v>9</v>
      </c>
      <c r="K25" s="109" t="s">
        <v>40</v>
      </c>
      <c r="L25" s="31">
        <f>IF(J25="Ya/Tidak",IF(K25="Ya",1,IF(K25="Tidak",0,"Blm Diisi")),IF(J25="A/B/C",IF(K25="A",1,IF(K25="B",0.5,IF(K25="C",0,"Blm Diisi"))),IF(J25="A/B/C/D",IF(K25="A",1,IF(K25="B",0.67,IF(K25="C",0.33,IF(K25="D",0,"Blm Diisi")))),IF(J25="A/B/C/D/E",IF(K25="A",1,IF(K25="B",0.75,IF(K25="C",0.5,IF(K25="D",0.25,IF(K25="E",0,"Blm Diisi"))))),IF(J25="%",IF(K25="","Blm Diisi",K25),IF(J25="Jumlah",IF(K25="","Blm Diisi",""),IF(J25="Rupiah",IF(K25="","Blm Diisi",""),IF(J25="","","-"))))))))</f>
        <v>1</v>
      </c>
      <c r="M25" s="68"/>
      <c r="N25" s="122"/>
      <c r="O25" s="248" t="s">
        <v>381</v>
      </c>
      <c r="P25" s="265" t="s">
        <v>605</v>
      </c>
      <c r="Q25" s="259" t="s">
        <v>499</v>
      </c>
    </row>
    <row r="26" spans="1:17" s="1" customFormat="1" ht="233.25" customHeight="1">
      <c r="A26">
        <v>25</v>
      </c>
      <c r="B26" s="27"/>
      <c r="C26" s="28"/>
      <c r="D26" s="28"/>
      <c r="E26" s="28"/>
      <c r="F26" s="29" t="s">
        <v>4</v>
      </c>
      <c r="G26" s="2" t="s">
        <v>214</v>
      </c>
      <c r="H26" s="47"/>
      <c r="I26" s="119" t="s">
        <v>186</v>
      </c>
      <c r="J26" s="30" t="s">
        <v>5</v>
      </c>
      <c r="K26" s="109" t="s">
        <v>40</v>
      </c>
      <c r="L26" s="31">
        <f>IF(J26="Ya/Tidak",IF(K26="Ya",1,IF(K26="Tidak",0,"Blm Diisi")),IF(J26="A/B/C",IF(K26="A",1,IF(K26="B",0.5,IF(K26="C",0,"Blm Diisi"))),IF(J26="A/B/C/D",IF(K26="A",1,IF(K26="B",0.67,IF(K26="C",0.33,IF(K26="D",0,"Blm Diisi")))),IF(J26="A/B/C/D/E",IF(K26="A",1,IF(K26="B",0.75,IF(K26="C",0.5,IF(K26="D",0.25,IF(K26="E",0,"Blm Diisi"))))),IF(J26="%",IF(K26="","Blm Diisi",K26),IF(J26="Jumlah",IF(K26="","Blm Diisi",""),IF(J26="Rupiah",IF(K26="","Blm Diisi",""),IF(J26="","","-"))))))))</f>
        <v>1</v>
      </c>
      <c r="M26" s="68"/>
      <c r="N26" s="123"/>
      <c r="O26" s="248" t="s">
        <v>608</v>
      </c>
      <c r="P26" s="279" t="s">
        <v>576</v>
      </c>
      <c r="Q26" s="259" t="s">
        <v>500</v>
      </c>
    </row>
    <row r="27" spans="1:17" s="1" customFormat="1" ht="240" customHeight="1">
      <c r="A27">
        <v>26</v>
      </c>
      <c r="B27" s="27"/>
      <c r="C27" s="28"/>
      <c r="D27" s="28"/>
      <c r="E27" s="28"/>
      <c r="F27" s="29" t="s">
        <v>6</v>
      </c>
      <c r="G27" s="2" t="s">
        <v>215</v>
      </c>
      <c r="H27" s="47"/>
      <c r="I27" s="119" t="s">
        <v>187</v>
      </c>
      <c r="J27" s="30" t="s">
        <v>5</v>
      </c>
      <c r="K27" s="109" t="s">
        <v>40</v>
      </c>
      <c r="L27" s="31">
        <f>IF(J27="Ya/Tidak",IF(K27="Ya",1,IF(K27="Tidak",0,"Blm Diisi")),IF(J27="A/B/C",IF(K27="A",1,IF(K27="B",0.5,IF(K27="C",0,"Blm Diisi"))),IF(J27="A/B/C/D",IF(K27="A",1,IF(K27="B",0.67,IF(K27="C",0.33,IF(K27="D",0,"Blm Diisi")))),IF(J27="A/B/C/D/E",IF(K27="A",1,IF(K27="B",0.75,IF(K27="C",0.5,IF(K27="D",0.25,IF(K27="E",0,"Blm Diisi"))))),IF(J27="%",IF(K27="","Blm Diisi",K27),IF(J27="Jumlah",IF(K27="","Blm Diisi",""),IF(J27="Rupiah",IF(K27="","Blm Diisi",""),IF(J27="","","-"))))))))</f>
        <v>1</v>
      </c>
      <c r="M27" s="68"/>
      <c r="O27" s="248" t="s">
        <v>607</v>
      </c>
      <c r="P27" s="279" t="s">
        <v>606</v>
      </c>
      <c r="Q27" s="259" t="s">
        <v>501</v>
      </c>
    </row>
    <row r="28" spans="1:17" s="9" customFormat="1">
      <c r="A28">
        <v>27</v>
      </c>
      <c r="B28" s="101"/>
      <c r="C28" s="102"/>
      <c r="D28" s="102"/>
      <c r="E28" s="28" t="s">
        <v>115</v>
      </c>
      <c r="F28" s="320" t="s">
        <v>216</v>
      </c>
      <c r="G28" s="320"/>
      <c r="H28" s="103">
        <v>2</v>
      </c>
      <c r="I28" s="104"/>
      <c r="J28" s="103"/>
      <c r="K28" s="103"/>
      <c r="L28" s="103">
        <f>AVERAGE(L29:L32)*H28</f>
        <v>2</v>
      </c>
      <c r="M28" s="105">
        <f>L28/H28</f>
        <v>1</v>
      </c>
      <c r="O28" s="106"/>
      <c r="P28" s="274"/>
    </row>
    <row r="29" spans="1:17" s="1" customFormat="1" ht="141.75">
      <c r="A29">
        <v>28</v>
      </c>
      <c r="B29" s="27"/>
      <c r="C29" s="28"/>
      <c r="D29" s="28"/>
      <c r="E29" s="28"/>
      <c r="F29" s="29" t="s">
        <v>2</v>
      </c>
      <c r="G29" s="2" t="s">
        <v>229</v>
      </c>
      <c r="H29" s="47"/>
      <c r="I29" s="119" t="s">
        <v>149</v>
      </c>
      <c r="J29" s="30" t="s">
        <v>3</v>
      </c>
      <c r="K29" s="109" t="s">
        <v>40</v>
      </c>
      <c r="L29" s="31">
        <f>IF(J29="Ya/Tidak",IF(K29="Ya",1,IF(K29="Tidak",0,"Blm Diisi")),IF(J29="A/B/C",IF(K29="A",1,IF(K29="B",0.5,IF(K29="C",0,"Blm Diisi"))),IF(J29="A/B/C/D",IF(K29="A",1,IF(K29="B",0.67,IF(K29="C",0.33,IF(K29="D",0,"Blm Diisi")))),IF(J29="A/B/C/D/E",IF(K29="A",1,IF(K29="B",0.75,IF(K29="C",0.5,IF(K29="D",0.25,IF(K29="E",0,"Blm Diisi"))))),IF(J29="%",IF(K29="","Blm Diisi",K29),IF(J29="Jumlah",IF(K29="","Blm Diisi",""),IF(J29="Rupiah",IF(K29="","Blm Diisi",""),IF(J29="","","-"))))))))</f>
        <v>1</v>
      </c>
      <c r="M29" s="68"/>
      <c r="O29" s="248" t="s">
        <v>382</v>
      </c>
      <c r="P29" s="279" t="s">
        <v>609</v>
      </c>
      <c r="Q29" s="264" t="s">
        <v>502</v>
      </c>
    </row>
    <row r="30" spans="1:17" s="1" customFormat="1" ht="126">
      <c r="A30">
        <v>29</v>
      </c>
      <c r="B30" s="27"/>
      <c r="C30" s="28"/>
      <c r="D30" s="28"/>
      <c r="E30" s="28"/>
      <c r="F30" s="29" t="s">
        <v>4</v>
      </c>
      <c r="G30" s="2" t="s">
        <v>230</v>
      </c>
      <c r="H30" s="47"/>
      <c r="I30" s="119" t="s">
        <v>151</v>
      </c>
      <c r="J30" s="30" t="s">
        <v>3</v>
      </c>
      <c r="K30" s="109" t="s">
        <v>40</v>
      </c>
      <c r="L30" s="31">
        <f>IF(J30="Ya/Tidak",IF(K30="Ya",1,IF(K30="Tidak",0,"Blm Diisi")),IF(J30="A/B/C",IF(K30="A",1,IF(K30="B",0.5,IF(K30="C",0,"Blm Diisi"))),IF(J30="A/B/C/D",IF(K30="A",1,IF(K30="B",0.67,IF(K30="C",0.33,IF(K30="D",0,"Blm Diisi")))),IF(J30="A/B/C/D/E",IF(K30="A",1,IF(K30="B",0.75,IF(K30="C",0.5,IF(K30="D",0.25,IF(K30="E",0,"Blm Diisi"))))),IF(J30="%",IF(K30="","Blm Diisi",K30),IF(J30="Jumlah",IF(K30="","Blm Diisi",""),IF(J30="Rupiah",IF(K30="","Blm Diisi",""),IF(J30="","","-"))))))))</f>
        <v>1</v>
      </c>
      <c r="M30" s="68"/>
      <c r="O30" s="248" t="s">
        <v>383</v>
      </c>
      <c r="P30" s="279" t="s">
        <v>610</v>
      </c>
      <c r="Q30" s="264" t="s">
        <v>503</v>
      </c>
    </row>
    <row r="31" spans="1:17" s="1" customFormat="1" ht="126">
      <c r="A31">
        <v>30</v>
      </c>
      <c r="B31" s="27"/>
      <c r="C31" s="28"/>
      <c r="D31" s="28"/>
      <c r="E31" s="28"/>
      <c r="F31" s="29" t="s">
        <v>6</v>
      </c>
      <c r="G31" s="2" t="s">
        <v>231</v>
      </c>
      <c r="H31" s="47"/>
      <c r="I31" s="119" t="s">
        <v>152</v>
      </c>
      <c r="J31" s="30" t="s">
        <v>3</v>
      </c>
      <c r="K31" s="109" t="s">
        <v>40</v>
      </c>
      <c r="L31" s="31">
        <f>IF(J31="Ya/Tidak",IF(K31="Ya",1,IF(K31="Tidak",0,"Blm Diisi")),IF(J31="A/B/C",IF(K31="A",1,IF(K31="B",0.5,IF(K31="C",0,"Blm Diisi"))),IF(J31="A/B/C/D",IF(K31="A",1,IF(K31="B",0.67,IF(K31="C",0.33,IF(K31="D",0,"Blm Diisi")))),IF(J31="A/B/C/D/E",IF(K31="A",1,IF(K31="B",0.75,IF(K31="C",0.5,IF(K31="D",0.25,IF(K31="E",0,"Blm Diisi"))))),IF(J31="%",IF(K31="","Blm Diisi",K31),IF(J31="Jumlah",IF(K31="","Blm Diisi",""),IF(J31="Rupiah",IF(K31="","Blm Diisi",""),IF(J31="","","-"))))))))</f>
        <v>1</v>
      </c>
      <c r="M31" s="68"/>
      <c r="N31" s="122"/>
      <c r="O31" s="248" t="s">
        <v>384</v>
      </c>
      <c r="P31" s="279" t="s">
        <v>577</v>
      </c>
      <c r="Q31" s="264" t="s">
        <v>504</v>
      </c>
    </row>
    <row r="32" spans="1:17" s="1" customFormat="1" ht="267.75">
      <c r="A32">
        <v>31</v>
      </c>
      <c r="B32" s="27"/>
      <c r="C32" s="28"/>
      <c r="D32" s="28"/>
      <c r="E32" s="28"/>
      <c r="F32" s="29" t="s">
        <v>25</v>
      </c>
      <c r="G32" s="2" t="s">
        <v>232</v>
      </c>
      <c r="H32" s="47"/>
      <c r="I32" s="119" t="s">
        <v>153</v>
      </c>
      <c r="J32" s="30" t="s">
        <v>3</v>
      </c>
      <c r="K32" s="109" t="s">
        <v>40</v>
      </c>
      <c r="L32" s="31">
        <f>IF(J32="Ya/Tidak",IF(K32="Ya",1,IF(K32="Tidak",0,"Blm Diisi")),IF(J32="A/B/C",IF(K32="A",1,IF(K32="B",0.5,IF(K32="C",0,"Blm Diisi"))),IF(J32="A/B/C/D",IF(K32="A",1,IF(K32="B",0.67,IF(K32="C",0.33,IF(K32="D",0,"Blm Diisi")))),IF(J32="A/B/C/D/E",IF(K32="A",1,IF(K32="B",0.75,IF(K32="C",0.5,IF(K32="D",0.25,IF(K32="E",0,"Blm Diisi"))))),IF(J32="%",IF(K32="","Blm Diisi",K32),IF(J32="Jumlah",IF(K32="","Blm Diisi",""),IF(J32="Rupiah",IF(K32="","Blm Diisi",""),IF(J32="","","-"))))))))</f>
        <v>1</v>
      </c>
      <c r="M32" s="68"/>
      <c r="N32" s="123"/>
      <c r="O32" s="248" t="s">
        <v>385</v>
      </c>
      <c r="P32" s="282" t="s">
        <v>578</v>
      </c>
      <c r="Q32" s="264" t="s">
        <v>505</v>
      </c>
    </row>
    <row r="33" spans="1:17" s="9" customFormat="1">
      <c r="A33">
        <v>32</v>
      </c>
      <c r="B33" s="101"/>
      <c r="C33" s="102"/>
      <c r="D33" s="102"/>
      <c r="E33" s="28" t="s">
        <v>116</v>
      </c>
      <c r="F33" s="320" t="s">
        <v>62</v>
      </c>
      <c r="G33" s="320"/>
      <c r="H33" s="103">
        <v>0.5</v>
      </c>
      <c r="I33" s="104"/>
      <c r="J33" s="103"/>
      <c r="K33" s="103"/>
      <c r="L33" s="103">
        <f>AVERAGE(L34:L35)*H33</f>
        <v>0.5</v>
      </c>
      <c r="M33" s="105">
        <f>L33/H33</f>
        <v>1</v>
      </c>
      <c r="O33" s="106"/>
      <c r="P33" s="274"/>
      <c r="Q33" s="260"/>
    </row>
    <row r="34" spans="1:17" s="1" customFormat="1" ht="126">
      <c r="A34">
        <v>33</v>
      </c>
      <c r="B34" s="27"/>
      <c r="C34" s="28"/>
      <c r="D34" s="28"/>
      <c r="E34" s="28"/>
      <c r="F34" s="29" t="s">
        <v>2</v>
      </c>
      <c r="G34" s="3" t="s">
        <v>233</v>
      </c>
      <c r="H34" s="47"/>
      <c r="I34" s="119" t="s">
        <v>154</v>
      </c>
      <c r="J34" s="30" t="s">
        <v>3</v>
      </c>
      <c r="K34" s="109" t="s">
        <v>40</v>
      </c>
      <c r="L34" s="31">
        <f>IF(J34="Ya/Tidak",IF(K34="Ya",1,IF(K34="Tidak",0,"Blm Diisi")),IF(J34="A/B/C",IF(K34="A",1,IF(K34="B",0.5,IF(K34="C",0,"Blm Diisi"))),IF(J34="A/B/C/D",IF(K34="A",1,IF(K34="B",0.67,IF(K34="C",0.33,IF(K34="D",0,"Blm Diisi")))),IF(J34="A/B/C/D/E",IF(K34="A",1,IF(K34="B",0.75,IF(K34="C",0.5,IF(K34="D",0.25,IF(K34="E",0,"Blm Diisi"))))),IF(J34="%",IF(K34="","Blm Diisi",K34),IF(J34="Jumlah",IF(K34="","Blm Diisi",""),IF(J34="Rupiah",IF(K34="","Blm Diisi",""),IF(J34="","","-"))))))))</f>
        <v>1</v>
      </c>
      <c r="M34" s="68"/>
      <c r="O34" s="248" t="s">
        <v>387</v>
      </c>
      <c r="P34" s="279" t="s">
        <v>579</v>
      </c>
      <c r="Q34" s="264" t="s">
        <v>506</v>
      </c>
    </row>
    <row r="35" spans="1:17" s="1" customFormat="1" ht="162" customHeight="1">
      <c r="A35">
        <v>34</v>
      </c>
      <c r="B35" s="27"/>
      <c r="C35" s="28"/>
      <c r="D35" s="28"/>
      <c r="E35" s="28"/>
      <c r="F35" s="29" t="s">
        <v>4</v>
      </c>
      <c r="G35" s="3" t="s">
        <v>234</v>
      </c>
      <c r="H35" s="47"/>
      <c r="I35" s="119" t="s">
        <v>155</v>
      </c>
      <c r="J35" s="30" t="s">
        <v>3</v>
      </c>
      <c r="K35" s="109" t="s">
        <v>40</v>
      </c>
      <c r="L35" s="31">
        <f>IF(J35="Ya/Tidak",IF(K35="Ya",1,IF(K35="Tidak",0,"Blm Diisi")),IF(J35="A/B/C",IF(K35="A",1,IF(K35="B",0.5,IF(K35="C",0,"Blm Diisi"))),IF(J35="A/B/C/D",IF(K35="A",1,IF(K35="B",0.67,IF(K35="C",0.33,IF(K35="D",0,"Blm Diisi")))),IF(J35="A/B/C/D/E",IF(K35="A",1,IF(K35="B",0.75,IF(K35="C",0.5,IF(K35="D",0.25,IF(K35="E",0,"Blm Diisi"))))),IF(J35="%",IF(K35="","Blm Diisi",K35),IF(J35="Jumlah",IF(K35="","Blm Diisi",""),IF(J35="Rupiah",IF(K35="","Blm Diisi",""),IF(J35="","","-"))))))))</f>
        <v>1</v>
      </c>
      <c r="M35" s="68"/>
      <c r="O35" s="248" t="s">
        <v>386</v>
      </c>
      <c r="P35" s="283" t="s">
        <v>580</v>
      </c>
      <c r="Q35" s="264" t="s">
        <v>507</v>
      </c>
    </row>
    <row r="36" spans="1:17" s="9" customFormat="1" ht="31.5">
      <c r="A36">
        <v>35</v>
      </c>
      <c r="B36" s="94"/>
      <c r="C36" s="110"/>
      <c r="D36" s="96" t="s">
        <v>113</v>
      </c>
      <c r="E36" s="320" t="s">
        <v>134</v>
      </c>
      <c r="F36" s="320"/>
      <c r="G36" s="320"/>
      <c r="H36" s="97">
        <v>5</v>
      </c>
      <c r="I36" s="98"/>
      <c r="J36" s="97"/>
      <c r="K36" s="97"/>
      <c r="L36" s="97">
        <f>SUM(L37,L41,L45,L52,L57,L59)</f>
        <v>5</v>
      </c>
      <c r="M36" s="99">
        <f>L36/H36</f>
        <v>1</v>
      </c>
      <c r="O36" s="100"/>
      <c r="P36" s="273"/>
      <c r="Q36" s="260"/>
    </row>
    <row r="37" spans="1:17" s="9" customFormat="1" ht="33" customHeight="1">
      <c r="A37">
        <v>36</v>
      </c>
      <c r="B37" s="101"/>
      <c r="C37" s="102"/>
      <c r="D37" s="102"/>
      <c r="E37" s="28" t="s">
        <v>111</v>
      </c>
      <c r="F37" s="320" t="s">
        <v>219</v>
      </c>
      <c r="G37" s="320"/>
      <c r="H37" s="103">
        <v>0.25</v>
      </c>
      <c r="I37" s="104"/>
      <c r="J37" s="103"/>
      <c r="K37" s="103"/>
      <c r="L37" s="103">
        <f>AVERAGE(L38:L40)*H37</f>
        <v>0.25</v>
      </c>
      <c r="M37" s="105">
        <f>L37/H37</f>
        <v>1</v>
      </c>
      <c r="O37" s="106"/>
      <c r="P37" s="274"/>
      <c r="Q37" s="260"/>
    </row>
    <row r="38" spans="1:17" s="1" customFormat="1" ht="63">
      <c r="A38">
        <v>37</v>
      </c>
      <c r="B38" s="27"/>
      <c r="C38" s="28"/>
      <c r="D38" s="28"/>
      <c r="E38" s="28"/>
      <c r="F38" s="29" t="s">
        <v>2</v>
      </c>
      <c r="G38" s="2" t="s">
        <v>235</v>
      </c>
      <c r="H38" s="47"/>
      <c r="I38" s="2" t="s">
        <v>31</v>
      </c>
      <c r="J38" s="30" t="s">
        <v>133</v>
      </c>
      <c r="K38" s="109" t="s">
        <v>39</v>
      </c>
      <c r="L38" s="31">
        <f>IF(J38="Ya/Tidak",IF(K38="Ya",1,IF(K38="Tidak",0,"Blm Diisi")),IF(J38="A/B/C",IF(K38="A",1,IF(K38="B",0.5,IF(K38="C",0,"Blm Diisi"))),IF(J38="A/B/C/D",IF(K38="A",1,IF(K38="B",0.67,IF(K38="C",0.33,IF(K38="D",0,"Blm Diisi")))),IF(J38="A/B/C/D/E",IF(K38="A",1,IF(K38="B",0.75,IF(K38="C",0.5,IF(K38="D",0.25,IF(K38="E",0,"Blm Diisi"))))),IF(J38="%",IF(K38="","Blm Diisi",K38),IF(J38="Jumlah",IF(K38="","Blm Diisi",""),IF(J38="Rupiah",IF(K38="","Blm Diisi",""),IF(J38="","","-"))))))))</f>
        <v>1</v>
      </c>
      <c r="M38" s="68"/>
      <c r="O38" s="248" t="s">
        <v>390</v>
      </c>
      <c r="P38" s="284" t="s">
        <v>581</v>
      </c>
      <c r="Q38" s="259" t="s">
        <v>508</v>
      </c>
    </row>
    <row r="39" spans="1:17" s="1" customFormat="1" ht="189">
      <c r="A39">
        <v>38</v>
      </c>
      <c r="B39" s="27"/>
      <c r="C39" s="28"/>
      <c r="D39" s="28"/>
      <c r="E39" s="28"/>
      <c r="F39" s="29" t="s">
        <v>4</v>
      </c>
      <c r="G39" s="2" t="s">
        <v>236</v>
      </c>
      <c r="H39" s="47"/>
      <c r="I39" s="119" t="s">
        <v>174</v>
      </c>
      <c r="J39" s="30" t="s">
        <v>9</v>
      </c>
      <c r="K39" s="109" t="s">
        <v>40</v>
      </c>
      <c r="L39" s="31">
        <f>IF(J39="Ya/Tidak",IF(K39="Ya",1,IF(K39="Tidak",0,"Blm Diisi")),IF(J39="A/B/C",IF(K39="A",1,IF(K39="B",0.5,IF(K39="C",0,"Blm Diisi"))),IF(J39="A/B/C/D",IF(K39="A",1,IF(K39="B",0.67,IF(K39="C",0.33,IF(K39="D",0,"Blm Diisi")))),IF(J39="A/B/C/D/E",IF(K39="A",1,IF(K39="B",0.75,IF(K39="C",0.5,IF(K39="D",0.25,IF(K39="E",0,"Blm Diisi"))))),IF(J39="%",IF(K39="","Blm Diisi",K39),IF(J39="Jumlah",IF(K39="","Blm Diisi",""),IF(J39="Rupiah",IF(K39="","Blm Diisi",""),IF(J39="","","-"))))))))</f>
        <v>1</v>
      </c>
      <c r="M39" s="68"/>
      <c r="O39" s="248" t="s">
        <v>391</v>
      </c>
      <c r="P39" s="283" t="s">
        <v>582</v>
      </c>
      <c r="Q39" s="264" t="s">
        <v>509</v>
      </c>
    </row>
    <row r="40" spans="1:17" s="1" customFormat="1" ht="78.75" customHeight="1">
      <c r="A40">
        <v>39</v>
      </c>
      <c r="B40" s="27"/>
      <c r="C40" s="28"/>
      <c r="D40" s="28"/>
      <c r="E40" s="28"/>
      <c r="F40" s="29" t="s">
        <v>6</v>
      </c>
      <c r="G40" s="2" t="s">
        <v>237</v>
      </c>
      <c r="H40" s="47"/>
      <c r="I40" s="2" t="s">
        <v>32</v>
      </c>
      <c r="J40" s="30" t="s">
        <v>133</v>
      </c>
      <c r="K40" s="109" t="s">
        <v>39</v>
      </c>
      <c r="L40" s="31">
        <f>IF(J40="Ya/Tidak",IF(K40="Ya",1,IF(K40="Tidak",0,"Blm Diisi")),IF(J40="A/B/C",IF(K40="A",1,IF(K40="B",0.5,IF(K40="C",0,"Blm Diisi"))),IF(J40="A/B/C/D",IF(K40="A",1,IF(K40="B",0.67,IF(K40="C",0.33,IF(K40="D",0,"Blm Diisi")))),IF(J40="A/B/C/D/E",IF(K40="A",1,IF(K40="B",0.75,IF(K40="C",0.5,IF(K40="D",0.25,IF(K40="E",0,"Blm Diisi"))))),IF(J40="%",IF(K40="","Blm Diisi",K40),IF(J40="Jumlah",IF(K40="","Blm Diisi",""),IF(J40="Rupiah",IF(K40="","Blm Diisi",""),IF(J40="","","-"))))))))</f>
        <v>1</v>
      </c>
      <c r="M40" s="68"/>
      <c r="O40" s="248" t="s">
        <v>392</v>
      </c>
      <c r="P40" s="284" t="s">
        <v>583</v>
      </c>
      <c r="Q40" s="259" t="s">
        <v>510</v>
      </c>
    </row>
    <row r="41" spans="1:17" s="9" customFormat="1">
      <c r="A41">
        <v>40</v>
      </c>
      <c r="B41" s="101"/>
      <c r="C41" s="102"/>
      <c r="D41" s="102"/>
      <c r="E41" s="28" t="s">
        <v>115</v>
      </c>
      <c r="F41" s="320" t="s">
        <v>63</v>
      </c>
      <c r="G41" s="320"/>
      <c r="H41" s="103">
        <v>0.5</v>
      </c>
      <c r="I41" s="104"/>
      <c r="J41" s="103"/>
      <c r="K41" s="103"/>
      <c r="L41" s="103">
        <f>AVERAGE(L42:L44)*H41</f>
        <v>0.5</v>
      </c>
      <c r="M41" s="105">
        <f>L41/H41</f>
        <v>1</v>
      </c>
      <c r="N41" s="124"/>
      <c r="O41" s="106"/>
      <c r="P41" s="274"/>
      <c r="Q41" s="260"/>
    </row>
    <row r="42" spans="1:17" s="1" customFormat="1" ht="63">
      <c r="A42">
        <v>41</v>
      </c>
      <c r="B42" s="27"/>
      <c r="C42" s="28"/>
      <c r="D42" s="28"/>
      <c r="E42" s="28"/>
      <c r="F42" s="29" t="s">
        <v>2</v>
      </c>
      <c r="G42" s="2" t="s">
        <v>238</v>
      </c>
      <c r="H42" s="47"/>
      <c r="I42" s="2" t="s">
        <v>33</v>
      </c>
      <c r="J42" s="30" t="s">
        <v>133</v>
      </c>
      <c r="K42" s="109" t="s">
        <v>39</v>
      </c>
      <c r="L42" s="31">
        <f>IF(J42="Ya/Tidak",IF(K42="Ya",1,IF(K42="Tidak",0,"Blm Diisi")),IF(J42="A/B/C",IF(K42="A",1,IF(K42="B",0.5,IF(K42="C",0,"Blm Diisi"))),IF(J42="A/B/C/D",IF(K42="A",1,IF(K42="B",0.67,IF(K42="C",0.33,IF(K42="D",0,"Blm Diisi")))),IF(J42="A/B/C/D/E",IF(K42="A",1,IF(K42="B",0.75,IF(K42="C",0.5,IF(K42="D",0.25,IF(K42="E",0,"Blm Diisi"))))),IF(J42="%",IF(K42="","Blm Diisi",K42),IF(J42="Jumlah",IF(K42="","Blm Diisi",""),IF(J42="Rupiah",IF(K42="","Blm Diisi",""),IF(J42="","","-"))))))))</f>
        <v>1</v>
      </c>
      <c r="M42" s="68"/>
      <c r="N42" s="123"/>
      <c r="O42" s="248" t="s">
        <v>393</v>
      </c>
      <c r="P42" s="284" t="s">
        <v>584</v>
      </c>
      <c r="Q42" s="259" t="s">
        <v>511</v>
      </c>
    </row>
    <row r="43" spans="1:17" s="1" customFormat="1" ht="299.25">
      <c r="A43">
        <v>42</v>
      </c>
      <c r="B43" s="27"/>
      <c r="C43" s="28"/>
      <c r="D43" s="28"/>
      <c r="E43" s="28"/>
      <c r="F43" s="29" t="s">
        <v>4</v>
      </c>
      <c r="G43" s="2" t="s">
        <v>239</v>
      </c>
      <c r="H43" s="47"/>
      <c r="I43" s="119" t="s">
        <v>188</v>
      </c>
      <c r="J43" s="30" t="s">
        <v>5</v>
      </c>
      <c r="K43" s="109" t="s">
        <v>40</v>
      </c>
      <c r="L43" s="31">
        <f>IF(J43="Ya/Tidak",IF(K43="Ya",1,IF(K43="Tidak",0,"Blm Diisi")),IF(J43="A/B/C",IF(K43="A",1,IF(K43="B",0.5,IF(K43="C",0,"Blm Diisi"))),IF(J43="A/B/C/D",IF(K43="A",1,IF(K43="B",0.67,IF(K43="C",0.33,IF(K43="D",0,"Blm Diisi")))),IF(J43="A/B/C/D/E",IF(K43="A",1,IF(K43="B",0.75,IF(K43="C",0.5,IF(K43="D",0.25,IF(K43="E",0,"Blm Diisi"))))),IF(J43="%",IF(K43="","Blm Diisi",K43),IF(J43="Jumlah",IF(K43="","Blm Diisi",""),IF(J43="Rupiah",IF(K43="","Blm Diisi",""),IF(J43="","","-"))))))))</f>
        <v>1</v>
      </c>
      <c r="M43" s="68"/>
      <c r="O43" s="248" t="s">
        <v>394</v>
      </c>
      <c r="P43" s="283" t="s">
        <v>585</v>
      </c>
      <c r="Q43" s="259" t="s">
        <v>512</v>
      </c>
    </row>
    <row r="44" spans="1:17" s="1" customFormat="1" ht="63">
      <c r="A44">
        <v>43</v>
      </c>
      <c r="B44" s="27"/>
      <c r="C44" s="28"/>
      <c r="D44" s="28"/>
      <c r="E44" s="28"/>
      <c r="F44" s="29" t="s">
        <v>6</v>
      </c>
      <c r="G44" s="2" t="s">
        <v>240</v>
      </c>
      <c r="H44" s="47"/>
      <c r="I44" s="2" t="s">
        <v>34</v>
      </c>
      <c r="J44" s="30" t="s">
        <v>133</v>
      </c>
      <c r="K44" s="109" t="s">
        <v>39</v>
      </c>
      <c r="L44" s="31">
        <f>IF(J44="Ya/Tidak",IF(K44="Ya",1,IF(K44="Tidak",0,"Blm Diisi")),IF(J44="A/B/C",IF(K44="A",1,IF(K44="B",0.5,IF(K44="C",0,"Blm Diisi"))),IF(J44="A/B/C/D",IF(K44="A",1,IF(K44="B",0.67,IF(K44="C",0.33,IF(K44="D",0,"Blm Diisi")))),IF(J44="A/B/C/D/E",IF(K44="A",1,IF(K44="B",0.75,IF(K44="C",0.5,IF(K44="D",0.25,IF(K44="E",0,"Blm Diisi"))))),IF(J44="%",IF(K44="","Blm Diisi",K44),IF(J44="Jumlah",IF(K44="","Blm Diisi",""),IF(J44="Rupiah",IF(K44="","Blm Diisi",""),IF(J44="","","-"))))))))</f>
        <v>1</v>
      </c>
      <c r="M44" s="68"/>
      <c r="O44" s="248" t="s">
        <v>395</v>
      </c>
      <c r="P44" s="284" t="s">
        <v>611</v>
      </c>
      <c r="Q44" s="259" t="s">
        <v>513</v>
      </c>
    </row>
    <row r="45" spans="1:17" s="9" customFormat="1">
      <c r="A45">
        <v>44</v>
      </c>
      <c r="B45" s="101"/>
      <c r="C45" s="102"/>
      <c r="D45" s="102"/>
      <c r="E45" s="28" t="s">
        <v>116</v>
      </c>
      <c r="F45" s="320" t="s">
        <v>220</v>
      </c>
      <c r="G45" s="320"/>
      <c r="H45" s="103">
        <v>1.25</v>
      </c>
      <c r="I45" s="104"/>
      <c r="J45" s="103"/>
      <c r="K45" s="103"/>
      <c r="L45" s="103">
        <f>AVERAGE(L46:L51)*H45</f>
        <v>1.25</v>
      </c>
      <c r="M45" s="105">
        <f>L45/H45</f>
        <v>1</v>
      </c>
      <c r="O45" s="106"/>
      <c r="P45" s="274"/>
      <c r="Q45" s="260"/>
    </row>
    <row r="46" spans="1:17" s="1" customFormat="1" ht="78.75">
      <c r="A46">
        <v>45</v>
      </c>
      <c r="B46" s="27"/>
      <c r="C46" s="28"/>
      <c r="D46" s="28"/>
      <c r="E46" s="28"/>
      <c r="F46" s="29" t="s">
        <v>2</v>
      </c>
      <c r="G46" s="3" t="s">
        <v>241</v>
      </c>
      <c r="H46" s="47"/>
      <c r="I46" s="2" t="s">
        <v>35</v>
      </c>
      <c r="J46" s="30" t="s">
        <v>133</v>
      </c>
      <c r="K46" s="109" t="s">
        <v>39</v>
      </c>
      <c r="L46" s="31">
        <f t="shared" ref="L46:L51" si="0">IF(J46="Ya/Tidak",IF(K46="Ya",1,IF(K46="Tidak",0,"Blm Diisi")),IF(J46="A/B/C",IF(K46="A",1,IF(K46="B",0.5,IF(K46="C",0,"Blm Diisi"))),IF(J46="A/B/C/D",IF(K46="A",1,IF(K46="B",0.67,IF(K46="C",0.33,IF(K46="D",0,"Blm Diisi")))),IF(J46="A/B/C/D/E",IF(K46="A",1,IF(K46="B",0.75,IF(K46="C",0.5,IF(K46="D",0.25,IF(K46="E",0,"Blm Diisi"))))),IF(J46="%",IF(K46="","Blm Diisi",K46),IF(J46="Jumlah",IF(K46="","Blm Diisi",""),IF(J46="Rupiah",IF(K46="","Blm Diisi",""),IF(J46="","","-"))))))))</f>
        <v>1</v>
      </c>
      <c r="M46" s="68"/>
      <c r="O46" s="248" t="s">
        <v>396</v>
      </c>
      <c r="P46" s="284" t="s">
        <v>586</v>
      </c>
      <c r="Q46" s="264" t="s">
        <v>514</v>
      </c>
    </row>
    <row r="47" spans="1:17" s="1" customFormat="1" ht="189">
      <c r="A47">
        <v>46</v>
      </c>
      <c r="B47" s="27"/>
      <c r="C47" s="28"/>
      <c r="D47" s="28"/>
      <c r="E47" s="28"/>
      <c r="F47" s="29" t="s">
        <v>4</v>
      </c>
      <c r="G47" s="2" t="s">
        <v>242</v>
      </c>
      <c r="H47" s="47"/>
      <c r="I47" s="119" t="s">
        <v>175</v>
      </c>
      <c r="J47" s="30" t="s">
        <v>9</v>
      </c>
      <c r="K47" s="109" t="s">
        <v>40</v>
      </c>
      <c r="L47" s="31">
        <f t="shared" si="0"/>
        <v>1</v>
      </c>
      <c r="M47" s="68"/>
      <c r="O47" s="248" t="s">
        <v>397</v>
      </c>
      <c r="P47" s="283" t="s">
        <v>587</v>
      </c>
      <c r="Q47" s="264" t="s">
        <v>515</v>
      </c>
    </row>
    <row r="48" spans="1:17" s="1" customFormat="1" ht="189">
      <c r="A48">
        <v>47</v>
      </c>
      <c r="B48" s="27"/>
      <c r="C48" s="28"/>
      <c r="D48" s="28"/>
      <c r="E48" s="28"/>
      <c r="F48" s="29" t="s">
        <v>6</v>
      </c>
      <c r="G48" s="2" t="s">
        <v>333</v>
      </c>
      <c r="H48" s="47"/>
      <c r="I48" s="119" t="s">
        <v>176</v>
      </c>
      <c r="J48" s="30" t="s">
        <v>9</v>
      </c>
      <c r="K48" s="109" t="s">
        <v>40</v>
      </c>
      <c r="L48" s="31">
        <f t="shared" si="0"/>
        <v>1</v>
      </c>
      <c r="M48" s="68"/>
      <c r="N48" s="122"/>
      <c r="O48" s="248" t="s">
        <v>398</v>
      </c>
      <c r="P48" s="283" t="s">
        <v>588</v>
      </c>
      <c r="Q48" s="264" t="s">
        <v>516</v>
      </c>
    </row>
    <row r="49" spans="1:17" s="1" customFormat="1" ht="189">
      <c r="A49">
        <v>48</v>
      </c>
      <c r="B49" s="27"/>
      <c r="C49" s="28"/>
      <c r="D49" s="28"/>
      <c r="E49" s="28"/>
      <c r="F49" s="29" t="s">
        <v>7</v>
      </c>
      <c r="G49" s="3" t="s">
        <v>243</v>
      </c>
      <c r="H49" s="47"/>
      <c r="I49" s="119" t="s">
        <v>177</v>
      </c>
      <c r="J49" s="30" t="s">
        <v>9</v>
      </c>
      <c r="K49" s="109" t="s">
        <v>40</v>
      </c>
      <c r="L49" s="31">
        <f t="shared" si="0"/>
        <v>1</v>
      </c>
      <c r="M49" s="68"/>
      <c r="N49" s="123"/>
      <c r="O49" s="248" t="s">
        <v>399</v>
      </c>
      <c r="P49" s="283" t="s">
        <v>589</v>
      </c>
      <c r="Q49" s="264" t="s">
        <v>517</v>
      </c>
    </row>
    <row r="50" spans="1:17" s="1" customFormat="1" ht="126" customHeight="1">
      <c r="A50">
        <v>49</v>
      </c>
      <c r="B50" s="27"/>
      <c r="C50" s="28"/>
      <c r="D50" s="28"/>
      <c r="E50" s="28"/>
      <c r="F50" s="29" t="s">
        <v>8</v>
      </c>
      <c r="G50" s="2" t="s">
        <v>244</v>
      </c>
      <c r="H50" s="47"/>
      <c r="I50" s="119" t="s">
        <v>178</v>
      </c>
      <c r="J50" s="30" t="s">
        <v>9</v>
      </c>
      <c r="K50" s="109" t="s">
        <v>40</v>
      </c>
      <c r="L50" s="31">
        <f t="shared" si="0"/>
        <v>1</v>
      </c>
      <c r="M50" s="68"/>
      <c r="O50" s="248" t="s">
        <v>400</v>
      </c>
      <c r="P50" s="283" t="s">
        <v>590</v>
      </c>
      <c r="Q50" s="264" t="s">
        <v>518</v>
      </c>
    </row>
    <row r="51" spans="1:17" s="1" customFormat="1" ht="173.25">
      <c r="A51">
        <v>50</v>
      </c>
      <c r="B51" s="27"/>
      <c r="C51" s="28"/>
      <c r="D51" s="28"/>
      <c r="E51" s="28"/>
      <c r="F51" s="29" t="s">
        <v>10</v>
      </c>
      <c r="G51" s="2" t="s">
        <v>245</v>
      </c>
      <c r="H51" s="47"/>
      <c r="I51" s="119" t="s">
        <v>156</v>
      </c>
      <c r="J51" s="30" t="s">
        <v>3</v>
      </c>
      <c r="K51" s="109" t="s">
        <v>40</v>
      </c>
      <c r="L51" s="31">
        <f t="shared" si="0"/>
        <v>1</v>
      </c>
      <c r="M51" s="68"/>
      <c r="O51" s="248" t="s">
        <v>401</v>
      </c>
      <c r="P51" s="283" t="s">
        <v>591</v>
      </c>
      <c r="Q51" s="264" t="s">
        <v>519</v>
      </c>
    </row>
    <row r="52" spans="1:17" s="9" customFormat="1">
      <c r="A52">
        <v>51</v>
      </c>
      <c r="B52" s="101"/>
      <c r="C52" s="102"/>
      <c r="D52" s="102"/>
      <c r="E52" s="28" t="s">
        <v>117</v>
      </c>
      <c r="F52" s="320" t="s">
        <v>221</v>
      </c>
      <c r="G52" s="320"/>
      <c r="H52" s="103">
        <v>2</v>
      </c>
      <c r="I52" s="104" t="s">
        <v>16</v>
      </c>
      <c r="J52" s="103"/>
      <c r="K52" s="103"/>
      <c r="L52" s="103">
        <f>AVERAGE(L53:L56)*H52</f>
        <v>2</v>
      </c>
      <c r="M52" s="105">
        <f>L52/H52</f>
        <v>1</v>
      </c>
      <c r="O52" s="106"/>
      <c r="P52" s="274"/>
      <c r="Q52" s="260"/>
    </row>
    <row r="53" spans="1:17" s="1" customFormat="1" ht="141.75">
      <c r="A53">
        <v>52</v>
      </c>
      <c r="B53" s="27"/>
      <c r="C53" s="28"/>
      <c r="D53" s="28"/>
      <c r="E53" s="28"/>
      <c r="F53" s="29" t="s">
        <v>2</v>
      </c>
      <c r="G53" s="2" t="s">
        <v>246</v>
      </c>
      <c r="H53" s="47"/>
      <c r="I53" s="119" t="s">
        <v>179</v>
      </c>
      <c r="J53" s="30" t="s">
        <v>9</v>
      </c>
      <c r="K53" s="109" t="s">
        <v>40</v>
      </c>
      <c r="L53" s="31">
        <f>IF(J53="Ya/Tidak",IF(K53="Ya",1,IF(K53="Tidak",0,"Blm Diisi")),IF(J53="A/B/C",IF(K53="A",1,IF(K53="B",0.5,IF(K53="C",0,"Blm Diisi"))),IF(J53="A/B/C/D",IF(K53="A",1,IF(K53="B",0.67,IF(K53="C",0.33,IF(K53="D",0,"Blm Diisi")))),IF(J53="A/B/C/D/E",IF(K53="A",1,IF(K53="B",0.75,IF(K53="C",0.5,IF(K53="D",0.25,IF(K53="E",0,"Blm Diisi"))))),IF(J53="%",IF(K53="","Blm Diisi",K53),IF(J53="Jumlah",IF(K53="","Blm Diisi",""),IF(J53="Rupiah",IF(K53="","Blm Diisi",""),IF(J53="","","-"))))))))</f>
        <v>1</v>
      </c>
      <c r="M53" s="68"/>
      <c r="O53" s="248" t="s">
        <v>402</v>
      </c>
      <c r="P53" s="283" t="s">
        <v>592</v>
      </c>
      <c r="Q53" s="259" t="s">
        <v>520</v>
      </c>
    </row>
    <row r="54" spans="1:17" s="1" customFormat="1" ht="204.75">
      <c r="A54">
        <v>53</v>
      </c>
      <c r="B54" s="27"/>
      <c r="C54" s="28"/>
      <c r="D54" s="28"/>
      <c r="E54" s="28"/>
      <c r="F54" s="29" t="s">
        <v>4</v>
      </c>
      <c r="G54" s="2" t="s">
        <v>247</v>
      </c>
      <c r="H54" s="47"/>
      <c r="I54" s="119" t="s">
        <v>180</v>
      </c>
      <c r="J54" s="30" t="s">
        <v>9</v>
      </c>
      <c r="K54" s="109" t="s">
        <v>40</v>
      </c>
      <c r="L54" s="31">
        <f>IF(J54="Ya/Tidak",IF(K54="Ya",1,IF(K54="Tidak",0,"Blm Diisi")),IF(J54="A/B/C",IF(K54="A",1,IF(K54="B",0.5,IF(K54="C",0,"Blm Diisi"))),IF(J54="A/B/C/D",IF(K54="A",1,IF(K54="B",0.67,IF(K54="C",0.33,IF(K54="D",0,"Blm Diisi")))),IF(J54="A/B/C/D/E",IF(K54="A",1,IF(K54="B",0.75,IF(K54="C",0.5,IF(K54="D",0.25,IF(K54="E",0,"Blm Diisi"))))),IF(J54="%",IF(K54="","Blm Diisi",K54),IF(J54="Jumlah",IF(K54="","Blm Diisi",""),IF(J54="Rupiah",IF(K54="","Blm Diisi",""),IF(J54="","","-"))))))))</f>
        <v>1</v>
      </c>
      <c r="M54" s="68"/>
      <c r="N54" s="122"/>
      <c r="O54" s="248" t="s">
        <v>403</v>
      </c>
      <c r="P54" s="283" t="s">
        <v>593</v>
      </c>
      <c r="Q54" s="259" t="s">
        <v>521</v>
      </c>
    </row>
    <row r="55" spans="1:17" s="1" customFormat="1" ht="157.5">
      <c r="A55">
        <v>54</v>
      </c>
      <c r="B55" s="27"/>
      <c r="C55" s="28"/>
      <c r="D55" s="28"/>
      <c r="E55" s="28"/>
      <c r="F55" s="29" t="s">
        <v>6</v>
      </c>
      <c r="G55" s="2" t="s">
        <v>248</v>
      </c>
      <c r="H55" s="47"/>
      <c r="I55" s="119" t="s">
        <v>189</v>
      </c>
      <c r="J55" s="30" t="s">
        <v>5</v>
      </c>
      <c r="K55" s="109" t="s">
        <v>40</v>
      </c>
      <c r="L55" s="31">
        <f>IF(J55="Ya/Tidak",IF(K55="Ya",1,IF(K55="Tidak",0,"Blm Diisi")),IF(J55="A/B/C",IF(K55="A",1,IF(K55="B",0.5,IF(K55="C",0,"Blm Diisi"))),IF(J55="A/B/C/D",IF(K55="A",1,IF(K55="B",0.67,IF(K55="C",0.33,IF(K55="D",0,"Blm Diisi")))),IF(J55="A/B/C/D/E",IF(K55="A",1,IF(K55="B",0.75,IF(K55="C",0.5,IF(K55="D",0.25,IF(K55="E",0,"Blm Diisi"))))),IF(J55="%",IF(K55="","Blm Diisi",K55),IF(J55="Jumlah",IF(K55="","Blm Diisi",""),IF(J55="Rupiah",IF(K55="","Blm Diisi",""),IF(J55="","","-"))))))))</f>
        <v>1</v>
      </c>
      <c r="M55" s="68"/>
      <c r="N55" s="123"/>
      <c r="O55" s="248" t="s">
        <v>404</v>
      </c>
      <c r="P55" s="283" t="s">
        <v>594</v>
      </c>
      <c r="Q55" s="259" t="s">
        <v>522</v>
      </c>
    </row>
    <row r="56" spans="1:17" s="1" customFormat="1" ht="94.5">
      <c r="A56">
        <v>55</v>
      </c>
      <c r="B56" s="27"/>
      <c r="C56" s="28"/>
      <c r="D56" s="28"/>
      <c r="E56" s="28"/>
      <c r="F56" s="29" t="s">
        <v>7</v>
      </c>
      <c r="G56" s="3" t="s">
        <v>250</v>
      </c>
      <c r="H56" s="47"/>
      <c r="I56" s="2" t="s">
        <v>249</v>
      </c>
      <c r="J56" s="30" t="s">
        <v>133</v>
      </c>
      <c r="K56" s="109" t="s">
        <v>39</v>
      </c>
      <c r="L56" s="31">
        <f>IF(J56="Ya/Tidak",IF(K56="Ya",1,IF(K56="Tidak",0,"Blm Diisi")),IF(J56="A/B/C",IF(K56="A",1,IF(K56="B",0.5,IF(K56="C",0,"Blm Diisi"))),IF(J56="A/B/C/D",IF(K56="A",1,IF(K56="B",0.67,IF(K56="C",0.33,IF(K56="D",0,"Blm Diisi")))),IF(J56="A/B/C/D/E",IF(K56="A",1,IF(K56="B",0.75,IF(K56="C",0.5,IF(K56="D",0.25,IF(K56="E",0,"Blm Diisi"))))),IF(J56="%",IF(K56="","Blm Diisi",K56),IF(J56="Jumlah",IF(K56="","Blm Diisi",""),IF(J56="Rupiah",IF(K56="","Blm Diisi",""),IF(J56="","","-"))))))))</f>
        <v>1</v>
      </c>
      <c r="M56" s="68"/>
      <c r="O56" s="248" t="s">
        <v>405</v>
      </c>
      <c r="P56" s="284" t="s">
        <v>595</v>
      </c>
      <c r="Q56" s="264" t="s">
        <v>523</v>
      </c>
    </row>
    <row r="57" spans="1:17" s="9" customFormat="1" ht="33" customHeight="1">
      <c r="A57">
        <v>56</v>
      </c>
      <c r="B57" s="101"/>
      <c r="C57" s="102"/>
      <c r="D57" s="102"/>
      <c r="E57" s="28" t="s">
        <v>118</v>
      </c>
      <c r="F57" s="320" t="s">
        <v>222</v>
      </c>
      <c r="G57" s="320"/>
      <c r="H57" s="103">
        <v>0.75</v>
      </c>
      <c r="I57" s="104"/>
      <c r="J57" s="103"/>
      <c r="K57" s="103"/>
      <c r="L57" s="103">
        <f>AVERAGE(L58)*H57</f>
        <v>0.75</v>
      </c>
      <c r="M57" s="105">
        <f>L57/H57</f>
        <v>1</v>
      </c>
      <c r="O57" s="106"/>
      <c r="P57" s="285"/>
      <c r="Q57" s="260"/>
    </row>
    <row r="58" spans="1:17" s="1" customFormat="1" ht="236.25">
      <c r="A58">
        <v>57</v>
      </c>
      <c r="B58" s="27"/>
      <c r="C58" s="28"/>
      <c r="D58" s="28"/>
      <c r="E58" s="28"/>
      <c r="F58" s="48" t="s">
        <v>2</v>
      </c>
      <c r="G58" s="3" t="s">
        <v>251</v>
      </c>
      <c r="H58" s="47"/>
      <c r="I58" s="119" t="s">
        <v>181</v>
      </c>
      <c r="J58" s="30" t="s">
        <v>9</v>
      </c>
      <c r="K58" s="109" t="s">
        <v>40</v>
      </c>
      <c r="L58" s="31">
        <f>IF(J58="Ya/Tidak",IF(K58="Ya",1,IF(K58="Tidak",0,"Blm Diisi")),IF(J58="A/B/C",IF(K58="A",1,IF(K58="B",0.5,IF(K58="C",0,"Blm Diisi"))),IF(J58="A/B/C/D",IF(K58="A",1,IF(K58="B",0.67,IF(K58="C",0.33,IF(K58="D",0,"Blm Diisi")))),IF(J58="A/B/C/D/E",IF(K58="A",1,IF(K58="B",0.75,IF(K58="C",0.5,IF(K58="D",0.25,IF(K58="E",0,"Blm Diisi"))))),IF(J58="%",IF(K58="","Blm Diisi",K58),IF(J58="Jumlah",IF(K58="","Blm Diisi",""),IF(J58="Rupiah",IF(K58="","Blm Diisi",""),IF(J58="","","-"))))))))</f>
        <v>1</v>
      </c>
      <c r="M58" s="68"/>
      <c r="O58" s="248" t="s">
        <v>406</v>
      </c>
      <c r="P58" s="286" t="s">
        <v>596</v>
      </c>
      <c r="Q58" s="259" t="s">
        <v>524</v>
      </c>
    </row>
    <row r="59" spans="1:17" s="9" customFormat="1">
      <c r="A59">
        <v>58</v>
      </c>
      <c r="B59" s="101"/>
      <c r="C59" s="102"/>
      <c r="D59" s="102"/>
      <c r="E59" s="28" t="s">
        <v>119</v>
      </c>
      <c r="F59" s="320" t="s">
        <v>64</v>
      </c>
      <c r="G59" s="320"/>
      <c r="H59" s="103">
        <v>0.25</v>
      </c>
      <c r="I59" s="104"/>
      <c r="J59" s="103"/>
      <c r="K59" s="103"/>
      <c r="L59" s="103">
        <f>AVERAGE(L60)*H59</f>
        <v>0.25</v>
      </c>
      <c r="M59" s="105">
        <f>L59/H59</f>
        <v>1</v>
      </c>
      <c r="O59" s="106"/>
      <c r="P59" s="287"/>
      <c r="Q59" s="260"/>
    </row>
    <row r="60" spans="1:17" s="1" customFormat="1" ht="126">
      <c r="A60">
        <v>59</v>
      </c>
      <c r="B60" s="27"/>
      <c r="C60" s="28"/>
      <c r="D60" s="28"/>
      <c r="E60" s="28"/>
      <c r="F60" s="48" t="s">
        <v>2</v>
      </c>
      <c r="G60" s="3" t="s">
        <v>252</v>
      </c>
      <c r="H60" s="47"/>
      <c r="I60" s="119" t="s">
        <v>157</v>
      </c>
      <c r="J60" s="30" t="s">
        <v>3</v>
      </c>
      <c r="K60" s="109" t="s">
        <v>40</v>
      </c>
      <c r="L60" s="31">
        <f>IF(J60="Ya/Tidak",IF(K60="Ya",1,IF(K60="Tidak",0,"Blm Diisi")),IF(J60="A/B/C",IF(K60="A",1,IF(K60="B",0.5,IF(K60="C",0,"Blm Diisi"))),IF(J60="A/B/C/D",IF(K60="A",1,IF(K60="B",0.67,IF(K60="C",0.33,IF(K60="D",0,"Blm Diisi")))),IF(J60="A/B/C/D/E",IF(K60="A",1,IF(K60="B",0.75,IF(K60="C",0.5,IF(K60="D",0.25,IF(K60="E",0,"Blm Diisi"))))),IF(J60="%",IF(K60="","Blm Diisi",K60),IF(J60="Jumlah",IF(K60="","Blm Diisi",""),IF(J60="Rupiah",IF(K60="","Blm Diisi",""),IF(J60="","","-"))))))))</f>
        <v>1</v>
      </c>
      <c r="M60" s="68"/>
      <c r="O60" s="248" t="s">
        <v>407</v>
      </c>
      <c r="P60" s="286" t="s">
        <v>597</v>
      </c>
      <c r="Q60" s="264" t="s">
        <v>525</v>
      </c>
    </row>
    <row r="61" spans="1:17" s="9" customFormat="1" ht="31.5">
      <c r="A61">
        <v>60</v>
      </c>
      <c r="B61" s="94"/>
      <c r="C61" s="110"/>
      <c r="D61" s="96" t="s">
        <v>114</v>
      </c>
      <c r="E61" s="320" t="s">
        <v>48</v>
      </c>
      <c r="F61" s="320"/>
      <c r="G61" s="320"/>
      <c r="H61" s="97">
        <v>5</v>
      </c>
      <c r="I61" s="98"/>
      <c r="J61" s="97"/>
      <c r="K61" s="97"/>
      <c r="L61" s="97">
        <f>SUM(L62,L66)</f>
        <v>5</v>
      </c>
      <c r="M61" s="99">
        <f>L61/H61</f>
        <v>1</v>
      </c>
      <c r="O61" s="100"/>
      <c r="P61" s="288"/>
      <c r="Q61" s="260"/>
    </row>
    <row r="62" spans="1:17" s="9" customFormat="1">
      <c r="A62">
        <v>61</v>
      </c>
      <c r="B62" s="101"/>
      <c r="C62" s="102"/>
      <c r="D62" s="102"/>
      <c r="E62" s="28" t="s">
        <v>111</v>
      </c>
      <c r="F62" s="320" t="s">
        <v>223</v>
      </c>
      <c r="G62" s="320"/>
      <c r="H62" s="103">
        <v>2.5</v>
      </c>
      <c r="I62" s="104"/>
      <c r="J62" s="103"/>
      <c r="K62" s="103"/>
      <c r="L62" s="103">
        <f>AVERAGE(L63:L65)*H62</f>
        <v>2.5</v>
      </c>
      <c r="M62" s="105">
        <f>L62/H62</f>
        <v>1</v>
      </c>
      <c r="O62" s="106"/>
      <c r="P62" s="289"/>
      <c r="Q62" s="260"/>
    </row>
    <row r="63" spans="1:17" s="1" customFormat="1" ht="110.25">
      <c r="A63">
        <v>62</v>
      </c>
      <c r="B63" s="27"/>
      <c r="C63" s="28"/>
      <c r="D63" s="28"/>
      <c r="E63" s="28"/>
      <c r="F63" s="29" t="s">
        <v>2</v>
      </c>
      <c r="G63" s="2" t="s">
        <v>334</v>
      </c>
      <c r="H63" s="47"/>
      <c r="I63" s="119" t="s">
        <v>253</v>
      </c>
      <c r="J63" s="30" t="s">
        <v>3</v>
      </c>
      <c r="K63" s="109" t="s">
        <v>40</v>
      </c>
      <c r="L63" s="31">
        <f>IF(J63="Ya/Tidak",IF(K63="Ya",1,IF(K63="Tidak",0,"Blm Diisi")),IF(J63="A/B/C",IF(K63="A",1,IF(K63="B",0.5,IF(K63="C",0,"Blm Diisi"))),IF(J63="A/B/C/D",IF(K63="A",1,IF(K63="B",0.67,IF(K63="C",0.33,IF(K63="D",0,"Blm Diisi")))),IF(J63="A/B/C/D/E",IF(K63="A",1,IF(K63="B",0.75,IF(K63="C",0.5,IF(K63="D",0.25,IF(K63="E",0,"Blm Diisi"))))),IF(J63="%",IF(K63="","Blm Diisi",K63),IF(J63="Jumlah",IF(K63="","Blm Diisi",""),IF(J63="Rupiah",IF(K63="","Blm Diisi",""),IF(J63="","","-"))))))))</f>
        <v>1</v>
      </c>
      <c r="M63" s="68"/>
      <c r="O63" s="248" t="s">
        <v>408</v>
      </c>
      <c r="P63" s="266" t="s">
        <v>614</v>
      </c>
      <c r="Q63" s="264" t="s">
        <v>526</v>
      </c>
    </row>
    <row r="64" spans="1:17" s="1" customFormat="1" ht="110.25">
      <c r="A64">
        <v>63</v>
      </c>
      <c r="B64" s="27"/>
      <c r="C64" s="28"/>
      <c r="D64" s="28"/>
      <c r="E64" s="28"/>
      <c r="F64" s="29" t="s">
        <v>4</v>
      </c>
      <c r="G64" s="2" t="s">
        <v>335</v>
      </c>
      <c r="H64" s="47"/>
      <c r="I64" s="119" t="s">
        <v>254</v>
      </c>
      <c r="J64" s="30" t="s">
        <v>3</v>
      </c>
      <c r="K64" s="109" t="s">
        <v>40</v>
      </c>
      <c r="L64" s="31">
        <f>IF(J64="Ya/Tidak",IF(K64="Ya",1,IF(K64="Tidak",0,"Blm Diisi")),IF(J64="A/B/C",IF(K64="A",1,IF(K64="B",0.5,IF(K64="C",0,"Blm Diisi"))),IF(J64="A/B/C/D",IF(K64="A",1,IF(K64="B",0.67,IF(K64="C",0.33,IF(K64="D",0,"Blm Diisi")))),IF(J64="A/B/C/D/E",IF(K64="A",1,IF(K64="B",0.75,IF(K64="C",0.5,IF(K64="D",0.25,IF(K64="E",0,"Blm Diisi"))))),IF(J64="%",IF(K64="","Blm Diisi",K64),IF(J64="Jumlah",IF(K64="","Blm Diisi",""),IF(J64="Rupiah",IF(K64="","Blm Diisi",""),IF(J64="","","-"))))))))</f>
        <v>1</v>
      </c>
      <c r="M64" s="68"/>
      <c r="N64" s="122"/>
      <c r="O64" s="248" t="s">
        <v>409</v>
      </c>
      <c r="P64" s="266" t="s">
        <v>613</v>
      </c>
      <c r="Q64" s="264" t="s">
        <v>527</v>
      </c>
    </row>
    <row r="65" spans="1:17" s="1" customFormat="1" ht="157.5">
      <c r="A65">
        <v>64</v>
      </c>
      <c r="B65" s="27"/>
      <c r="C65" s="28"/>
      <c r="D65" s="28"/>
      <c r="E65" s="28"/>
      <c r="F65" s="29" t="s">
        <v>6</v>
      </c>
      <c r="G65" s="2" t="s">
        <v>255</v>
      </c>
      <c r="H65" s="47"/>
      <c r="I65" s="119" t="s">
        <v>256</v>
      </c>
      <c r="J65" s="30" t="s">
        <v>9</v>
      </c>
      <c r="K65" s="109" t="s">
        <v>40</v>
      </c>
      <c r="L65" s="31">
        <f>IF(J65="Ya/Tidak",IF(K65="Ya",1,IF(K65="Tidak",0,"Blm Diisi")),IF(J65="A/B/C",IF(K65="A",1,IF(K65="B",0.5,IF(K65="C",0,"Blm Diisi"))),IF(J65="A/B/C/D",IF(K65="A",1,IF(K65="B",0.67,IF(K65="C",0.33,IF(K65="D",0,"Blm Diisi")))),IF(J65="A/B/C/D/E",IF(K65="A",1,IF(K65="B",0.75,IF(K65="C",0.5,IF(K65="D",0.25,IF(K65="E",0,"Blm Diisi"))))),IF(J65="%",IF(K65="","Blm Diisi",K65),IF(J65="Jumlah",IF(K65="","Blm Diisi",""),IF(J65="Rupiah",IF(K65="","Blm Diisi",""),IF(J65="","","-"))))))))</f>
        <v>1</v>
      </c>
      <c r="M65" s="68"/>
      <c r="N65" s="123"/>
      <c r="O65" s="248" t="s">
        <v>410</v>
      </c>
      <c r="P65" s="266" t="s">
        <v>612</v>
      </c>
      <c r="Q65" s="259" t="s">
        <v>528</v>
      </c>
    </row>
    <row r="66" spans="1:17" s="9" customFormat="1">
      <c r="A66">
        <v>65</v>
      </c>
      <c r="B66" s="101"/>
      <c r="C66" s="102"/>
      <c r="D66" s="102"/>
      <c r="E66" s="28" t="s">
        <v>115</v>
      </c>
      <c r="F66" s="320" t="s">
        <v>65</v>
      </c>
      <c r="G66" s="320"/>
      <c r="H66" s="103">
        <v>2.5</v>
      </c>
      <c r="I66" s="104"/>
      <c r="J66" s="103"/>
      <c r="K66" s="103"/>
      <c r="L66" s="103">
        <f>AVERAGE(L67:L74)*H66</f>
        <v>2.5</v>
      </c>
      <c r="M66" s="105">
        <f>L66/H66</f>
        <v>1</v>
      </c>
      <c r="O66" s="106"/>
      <c r="P66" s="289"/>
      <c r="Q66" s="260"/>
    </row>
    <row r="67" spans="1:17" s="1" customFormat="1" ht="94.5">
      <c r="A67">
        <v>66</v>
      </c>
      <c r="B67" s="27"/>
      <c r="C67" s="28"/>
      <c r="D67" s="28"/>
      <c r="E67" s="28"/>
      <c r="F67" s="29" t="s">
        <v>2</v>
      </c>
      <c r="G67" s="119" t="s">
        <v>257</v>
      </c>
      <c r="H67" s="47"/>
      <c r="I67" s="107" t="s">
        <v>258</v>
      </c>
      <c r="J67" s="30" t="s">
        <v>133</v>
      </c>
      <c r="K67" s="109" t="s">
        <v>39</v>
      </c>
      <c r="L67" s="31">
        <f t="shared" ref="L67:L74" si="1">IF(J67="Ya/Tidak",IF(K67="Ya",1,IF(K67="Tidak",0,"Blm Diisi")),IF(J67="A/B/C",IF(K67="A",1,IF(K67="B",0.5,IF(K67="C",0,"Blm Diisi"))),IF(J67="A/B/C/D",IF(K67="A",1,IF(K67="B",0.67,IF(K67="C",0.33,IF(K67="D",0,"Blm Diisi")))),IF(J67="A/B/C/D/E",IF(K67="A",1,IF(K67="B",0.75,IF(K67="C",0.5,IF(K67="D",0.25,IF(K67="E",0,"Blm Diisi"))))),IF(J67="%",IF(K67="","Blm Diisi",K67),IF(J67="Jumlah",IF(K67="","Blm Diisi",""),IF(J67="Rupiah",IF(K67="","Blm Diisi",""),IF(J67="","","-"))))))))</f>
        <v>1</v>
      </c>
      <c r="M67" s="68"/>
      <c r="O67" s="248" t="s">
        <v>411</v>
      </c>
      <c r="P67" s="266" t="s">
        <v>615</v>
      </c>
      <c r="Q67" s="259" t="s">
        <v>529</v>
      </c>
    </row>
    <row r="68" spans="1:17" s="1" customFormat="1" ht="31.5">
      <c r="A68">
        <v>67</v>
      </c>
      <c r="B68" s="27"/>
      <c r="C68" s="28"/>
      <c r="D68" s="28"/>
      <c r="E68" s="28"/>
      <c r="F68" s="29" t="s">
        <v>4</v>
      </c>
      <c r="G68" s="119" t="s">
        <v>259</v>
      </c>
      <c r="H68" s="47"/>
      <c r="I68" s="107" t="s">
        <v>265</v>
      </c>
      <c r="J68" s="30" t="s">
        <v>133</v>
      </c>
      <c r="K68" s="109" t="s">
        <v>39</v>
      </c>
      <c r="L68" s="31">
        <f t="shared" si="1"/>
        <v>1</v>
      </c>
      <c r="M68" s="68"/>
      <c r="O68" s="248" t="s">
        <v>412</v>
      </c>
      <c r="P68" s="266" t="s">
        <v>616</v>
      </c>
      <c r="Q68" s="259" t="s">
        <v>530</v>
      </c>
    </row>
    <row r="69" spans="1:17" s="1" customFormat="1" ht="31.5">
      <c r="A69">
        <v>68</v>
      </c>
      <c r="B69" s="27"/>
      <c r="C69" s="28"/>
      <c r="D69" s="28"/>
      <c r="E69" s="28"/>
      <c r="F69" s="29" t="s">
        <v>6</v>
      </c>
      <c r="G69" s="119" t="s">
        <v>260</v>
      </c>
      <c r="H69" s="47"/>
      <c r="I69" s="2" t="s">
        <v>264</v>
      </c>
      <c r="J69" s="30" t="s">
        <v>133</v>
      </c>
      <c r="K69" s="109" t="s">
        <v>39</v>
      </c>
      <c r="L69" s="31">
        <f t="shared" si="1"/>
        <v>1</v>
      </c>
      <c r="M69" s="68"/>
      <c r="O69" s="248" t="s">
        <v>413</v>
      </c>
      <c r="P69" s="266" t="s">
        <v>617</v>
      </c>
      <c r="Q69" s="259" t="s">
        <v>531</v>
      </c>
    </row>
    <row r="70" spans="1:17" s="1" customFormat="1" ht="78.75" customHeight="1">
      <c r="A70">
        <v>69</v>
      </c>
      <c r="B70" s="27"/>
      <c r="C70" s="28"/>
      <c r="D70" s="28"/>
      <c r="E70" s="28"/>
      <c r="F70" s="29" t="s">
        <v>7</v>
      </c>
      <c r="G70" s="119" t="s">
        <v>261</v>
      </c>
      <c r="H70" s="47"/>
      <c r="I70" s="119" t="s">
        <v>262</v>
      </c>
      <c r="J70" s="30" t="s">
        <v>9</v>
      </c>
      <c r="K70" s="109" t="s">
        <v>40</v>
      </c>
      <c r="L70" s="31">
        <f t="shared" si="1"/>
        <v>1</v>
      </c>
      <c r="M70" s="68"/>
      <c r="O70" s="248" t="s">
        <v>414</v>
      </c>
      <c r="P70" s="266" t="s">
        <v>616</v>
      </c>
      <c r="Q70" s="259" t="s">
        <v>532</v>
      </c>
    </row>
    <row r="71" spans="1:17" s="1" customFormat="1" ht="47.25">
      <c r="A71">
        <v>70</v>
      </c>
      <c r="B71" s="27"/>
      <c r="C71" s="28"/>
      <c r="D71" s="28"/>
      <c r="E71" s="28"/>
      <c r="F71" s="29" t="s">
        <v>8</v>
      </c>
      <c r="G71" s="119" t="s">
        <v>263</v>
      </c>
      <c r="H71" s="47"/>
      <c r="I71" s="2" t="s">
        <v>27</v>
      </c>
      <c r="J71" s="30" t="s">
        <v>133</v>
      </c>
      <c r="K71" s="109" t="s">
        <v>39</v>
      </c>
      <c r="L71" s="31">
        <f t="shared" si="1"/>
        <v>1</v>
      </c>
      <c r="M71" s="68"/>
      <c r="O71" s="248" t="s">
        <v>415</v>
      </c>
      <c r="P71" s="265" t="s">
        <v>618</v>
      </c>
      <c r="Q71" s="259" t="s">
        <v>533</v>
      </c>
    </row>
    <row r="72" spans="1:17" s="1" customFormat="1" ht="94.5">
      <c r="A72">
        <v>71</v>
      </c>
      <c r="B72" s="27"/>
      <c r="C72" s="28"/>
      <c r="D72" s="28"/>
      <c r="E72" s="28"/>
      <c r="F72" s="29" t="s">
        <v>10</v>
      </c>
      <c r="G72" s="119" t="s">
        <v>266</v>
      </c>
      <c r="H72" s="47"/>
      <c r="I72" s="119" t="s">
        <v>158</v>
      </c>
      <c r="J72" s="30" t="s">
        <v>3</v>
      </c>
      <c r="K72" s="109" t="s">
        <v>40</v>
      </c>
      <c r="L72" s="31">
        <f t="shared" si="1"/>
        <v>1</v>
      </c>
      <c r="M72" s="68"/>
      <c r="O72" s="248" t="s">
        <v>416</v>
      </c>
      <c r="P72" s="265" t="s">
        <v>619</v>
      </c>
      <c r="Q72" s="264" t="s">
        <v>534</v>
      </c>
    </row>
    <row r="73" spans="1:17" s="1" customFormat="1" ht="31.5">
      <c r="A73">
        <v>72</v>
      </c>
      <c r="B73" s="27"/>
      <c r="C73" s="28"/>
      <c r="D73" s="28"/>
      <c r="E73" s="28"/>
      <c r="F73" s="29" t="s">
        <v>11</v>
      </c>
      <c r="G73" s="2" t="s">
        <v>329</v>
      </c>
      <c r="H73" s="47"/>
      <c r="I73" s="107" t="s">
        <v>368</v>
      </c>
      <c r="J73" s="30" t="s">
        <v>133</v>
      </c>
      <c r="K73" s="109" t="s">
        <v>39</v>
      </c>
      <c r="L73" s="31">
        <f t="shared" si="1"/>
        <v>1</v>
      </c>
      <c r="M73" s="68"/>
      <c r="O73" s="248" t="s">
        <v>417</v>
      </c>
      <c r="P73" s="267" t="s">
        <v>620</v>
      </c>
      <c r="Q73" s="259" t="s">
        <v>535</v>
      </c>
    </row>
    <row r="74" spans="1:17" s="1" customFormat="1" ht="157.5">
      <c r="A74">
        <v>73</v>
      </c>
      <c r="B74" s="27"/>
      <c r="C74" s="28"/>
      <c r="D74" s="28"/>
      <c r="E74" s="28"/>
      <c r="F74" s="29" t="s">
        <v>26</v>
      </c>
      <c r="G74" s="2" t="s">
        <v>336</v>
      </c>
      <c r="H74" s="47"/>
      <c r="I74" s="119" t="s">
        <v>267</v>
      </c>
      <c r="J74" s="30" t="s">
        <v>3</v>
      </c>
      <c r="K74" s="109" t="s">
        <v>40</v>
      </c>
      <c r="L74" s="31">
        <f t="shared" si="1"/>
        <v>1</v>
      </c>
      <c r="M74" s="68"/>
      <c r="O74" s="248" t="s">
        <v>418</v>
      </c>
      <c r="P74" s="265" t="s">
        <v>621</v>
      </c>
      <c r="Q74" s="264" t="s">
        <v>536</v>
      </c>
    </row>
    <row r="75" spans="1:17" s="9" customFormat="1" ht="31.5">
      <c r="A75">
        <v>74</v>
      </c>
      <c r="B75" s="94"/>
      <c r="C75" s="110"/>
      <c r="D75" s="96" t="s">
        <v>17</v>
      </c>
      <c r="E75" s="320" t="s">
        <v>49</v>
      </c>
      <c r="F75" s="320"/>
      <c r="G75" s="320"/>
      <c r="H75" s="97">
        <v>7.5</v>
      </c>
      <c r="I75" s="98"/>
      <c r="J75" s="97"/>
      <c r="K75" s="97"/>
      <c r="L75" s="97">
        <f>SUM(L76,L79,L84,L89,L94)</f>
        <v>7.5</v>
      </c>
      <c r="M75" s="99">
        <f>L75/H75</f>
        <v>1</v>
      </c>
      <c r="O75" s="100"/>
      <c r="P75" s="273"/>
      <c r="Q75" s="260"/>
    </row>
    <row r="76" spans="1:17" s="9" customFormat="1">
      <c r="A76">
        <v>75</v>
      </c>
      <c r="B76" s="101"/>
      <c r="C76" s="102"/>
      <c r="D76" s="102"/>
      <c r="E76" s="28" t="s">
        <v>111</v>
      </c>
      <c r="F76" s="320" t="s">
        <v>66</v>
      </c>
      <c r="G76" s="320"/>
      <c r="H76" s="103">
        <v>1.5</v>
      </c>
      <c r="I76" s="104"/>
      <c r="J76" s="103"/>
      <c r="K76" s="103"/>
      <c r="L76" s="103">
        <f>AVERAGE(L77:L78)*H76</f>
        <v>1.5</v>
      </c>
      <c r="M76" s="105">
        <f>L76/H76</f>
        <v>1</v>
      </c>
      <c r="O76" s="106"/>
      <c r="P76" s="274"/>
      <c r="Q76" s="260"/>
    </row>
    <row r="77" spans="1:17" s="1" customFormat="1" ht="141.75">
      <c r="A77">
        <v>76</v>
      </c>
      <c r="B77" s="27"/>
      <c r="C77" s="28"/>
      <c r="D77" s="28"/>
      <c r="E77" s="28"/>
      <c r="F77" s="29" t="s">
        <v>2</v>
      </c>
      <c r="G77" s="2" t="s">
        <v>268</v>
      </c>
      <c r="H77" s="47"/>
      <c r="I77" s="119" t="s">
        <v>159</v>
      </c>
      <c r="J77" s="30" t="s">
        <v>3</v>
      </c>
      <c r="K77" s="109" t="s">
        <v>40</v>
      </c>
      <c r="L77" s="31">
        <f>IF(J77="Ya/Tidak",IF(K77="Ya",1,IF(K77="Tidak",0,"Blm Diisi")),IF(J77="A/B/C",IF(K77="A",1,IF(K77="B",0.5,IF(K77="C",0,"Blm Diisi"))),IF(J77="A/B/C/D",IF(K77="A",1,IF(K77="B",0.67,IF(K77="C",0.33,IF(K77="D",0,"Blm Diisi")))),IF(J77="A/B/C/D/E",IF(K77="A",1,IF(K77="B",0.75,IF(K77="C",0.5,IF(K77="D",0.25,IF(K77="E",0,"Blm Diisi"))))),IF(J77="%",IF(K77="","Blm Diisi",K77),IF(J77="Jumlah",IF(K77="","Blm Diisi",""),IF(J77="Rupiah",IF(K77="","Blm Diisi",""),IF(J77="","","-"))))))))</f>
        <v>1</v>
      </c>
      <c r="M77" s="68"/>
      <c r="O77" s="248" t="s">
        <v>480</v>
      </c>
      <c r="P77" s="265" t="s">
        <v>622</v>
      </c>
      <c r="Q77" s="259" t="s">
        <v>537</v>
      </c>
    </row>
    <row r="78" spans="1:17" s="1" customFormat="1" ht="141.75" customHeight="1">
      <c r="A78">
        <v>77</v>
      </c>
      <c r="B78" s="27"/>
      <c r="C78" s="28"/>
      <c r="D78" s="28"/>
      <c r="E78" s="28"/>
      <c r="F78" s="29" t="s">
        <v>4</v>
      </c>
      <c r="G78" s="2" t="s">
        <v>269</v>
      </c>
      <c r="H78" s="47"/>
      <c r="I78" s="119" t="s">
        <v>182</v>
      </c>
      <c r="J78" s="30" t="s">
        <v>9</v>
      </c>
      <c r="K78" s="109" t="s">
        <v>40</v>
      </c>
      <c r="L78" s="31">
        <f>IF(J78="Ya/Tidak",IF(K78="Ya",1,IF(K78="Tidak",0,"Blm Diisi")),IF(J78="A/B/C",IF(K78="A",1,IF(K78="B",0.5,IF(K78="C",0,"Blm Diisi"))),IF(J78="A/B/C/D",IF(K78="A",1,IF(K78="B",0.67,IF(K78="C",0.33,IF(K78="D",0,"Blm Diisi")))),IF(J78="A/B/C/D/E",IF(K78="A",1,IF(K78="B",0.75,IF(K78="C",0.5,IF(K78="D",0.25,IF(K78="E",0,"Blm Diisi"))))),IF(J78="%",IF(K78="","Blm Diisi",K78),IF(J78="Jumlah",IF(K78="","Blm Diisi",""),IF(J78="Rupiah",IF(K78="","Blm Diisi",""),IF(J78="","","-"))))))))</f>
        <v>1</v>
      </c>
      <c r="M78" s="68"/>
      <c r="O78" s="248" t="s">
        <v>421</v>
      </c>
      <c r="P78" s="265" t="s">
        <v>625</v>
      </c>
      <c r="Q78" s="259" t="s">
        <v>538</v>
      </c>
    </row>
    <row r="79" spans="1:17" s="9" customFormat="1" ht="36" customHeight="1">
      <c r="A79">
        <v>78</v>
      </c>
      <c r="B79" s="101"/>
      <c r="C79" s="102"/>
      <c r="D79" s="102"/>
      <c r="E79" s="28" t="s">
        <v>115</v>
      </c>
      <c r="F79" s="320" t="s">
        <v>270</v>
      </c>
      <c r="G79" s="320"/>
      <c r="H79" s="103">
        <v>1.5</v>
      </c>
      <c r="I79" s="104"/>
      <c r="J79" s="103"/>
      <c r="K79" s="103"/>
      <c r="L79" s="103">
        <f>AVERAGE(L80:L83)*H79</f>
        <v>1.5</v>
      </c>
      <c r="M79" s="105">
        <f>L79/H79</f>
        <v>1</v>
      </c>
      <c r="N79" s="124"/>
      <c r="O79" s="106"/>
      <c r="P79" s="274"/>
      <c r="Q79" s="260"/>
    </row>
    <row r="80" spans="1:17" s="1" customFormat="1" ht="252">
      <c r="A80">
        <v>79</v>
      </c>
      <c r="B80" s="27"/>
      <c r="C80" s="28"/>
      <c r="D80" s="28"/>
      <c r="E80" s="28"/>
      <c r="F80" s="29" t="s">
        <v>2</v>
      </c>
      <c r="G80" s="2" t="s">
        <v>271</v>
      </c>
      <c r="H80" s="47"/>
      <c r="I80" s="119" t="s">
        <v>190</v>
      </c>
      <c r="J80" s="30" t="s">
        <v>5</v>
      </c>
      <c r="K80" s="109" t="s">
        <v>40</v>
      </c>
      <c r="L80" s="31">
        <f>IF(J80="Ya/Tidak",IF(K80="Ya",1,IF(K80="Tidak",0,"Blm Diisi")),IF(J80="A/B/C",IF(K80="A",1,IF(K80="B",0.5,IF(K80="C",0,"Blm Diisi"))),IF(J80="A/B/C/D",IF(K80="A",1,IF(K80="B",0.67,IF(K80="C",0.33,IF(K80="D",0,"Blm Diisi")))),IF(J80="A/B/C/D/E",IF(K80="A",1,IF(K80="B",0.75,IF(K80="C",0.5,IF(K80="D",0.25,IF(K80="E",0,"Blm Diisi"))))),IF(J80="%",IF(K80="","Blm Diisi",K80),IF(J80="Jumlah",IF(K80="","Blm Diisi",""),IF(J80="Rupiah",IF(K80="","Blm Diisi",""),IF(J80="","","-"))))))))</f>
        <v>1</v>
      </c>
      <c r="M80" s="68"/>
      <c r="N80" s="123"/>
      <c r="O80" s="248" t="s">
        <v>422</v>
      </c>
      <c r="P80" s="265" t="s">
        <v>623</v>
      </c>
      <c r="Q80" s="259" t="s">
        <v>539</v>
      </c>
    </row>
    <row r="81" spans="1:17" s="1" customFormat="1" ht="252">
      <c r="A81">
        <v>80</v>
      </c>
      <c r="B81" s="27"/>
      <c r="C81" s="28"/>
      <c r="D81" s="28"/>
      <c r="E81" s="28"/>
      <c r="F81" s="29" t="s">
        <v>4</v>
      </c>
      <c r="G81" s="2" t="s">
        <v>272</v>
      </c>
      <c r="H81" s="47"/>
      <c r="I81" s="119" t="s">
        <v>191</v>
      </c>
      <c r="J81" s="30" t="s">
        <v>5</v>
      </c>
      <c r="K81" s="109" t="s">
        <v>40</v>
      </c>
      <c r="L81" s="31">
        <f>IF(J81="Ya/Tidak",IF(K81="Ya",1,IF(K81="Tidak",0,"Blm Diisi")),IF(J81="A/B/C",IF(K81="A",1,IF(K81="B",0.5,IF(K81="C",0,"Blm Diisi"))),IF(J81="A/B/C/D",IF(K81="A",1,IF(K81="B",0.67,IF(K81="C",0.33,IF(K81="D",0,"Blm Diisi")))),IF(J81="A/B/C/D/E",IF(K81="A",1,IF(K81="B",0.75,IF(K81="C",0.5,IF(K81="D",0.25,IF(K81="E",0,"Blm Diisi"))))),IF(J81="%",IF(K81="","Blm Diisi",K81),IF(J81="Jumlah",IF(K81="","Blm Diisi",""),IF(J81="Rupiah",IF(K81="","Blm Diisi",""),IF(J81="","","-"))))))))</f>
        <v>1</v>
      </c>
      <c r="M81" s="68"/>
      <c r="O81" s="248" t="s">
        <v>423</v>
      </c>
      <c r="P81" s="265" t="s">
        <v>624</v>
      </c>
      <c r="Q81" s="259" t="s">
        <v>540</v>
      </c>
    </row>
    <row r="82" spans="1:17" s="1" customFormat="1" ht="173.25">
      <c r="A82">
        <v>81</v>
      </c>
      <c r="B82" s="27"/>
      <c r="C82" s="28"/>
      <c r="D82" s="28"/>
      <c r="E82" s="28"/>
      <c r="F82" s="29" t="s">
        <v>6</v>
      </c>
      <c r="G82" s="2" t="s">
        <v>273</v>
      </c>
      <c r="H82" s="47"/>
      <c r="I82" s="119" t="s">
        <v>160</v>
      </c>
      <c r="J82" s="30" t="s">
        <v>3</v>
      </c>
      <c r="K82" s="109" t="s">
        <v>40</v>
      </c>
      <c r="L82" s="31">
        <f>IF(J82="Ya/Tidak",IF(K82="Ya",1,IF(K82="Tidak",0,"Blm Diisi")),IF(J82="A/B/C",IF(K82="A",1,IF(K82="B",0.5,IF(K82="C",0,"Blm Diisi"))),IF(J82="A/B/C/D",IF(K82="A",1,IF(K82="B",0.67,IF(K82="C",0.33,IF(K82="D",0,"Blm Diisi")))),IF(J82="A/B/C/D/E",IF(K82="A",1,IF(K82="B",0.75,IF(K82="C",0.5,IF(K82="D",0.25,IF(K82="E",0,"Blm Diisi"))))),IF(J82="%",IF(K82="","Blm Diisi",K82),IF(J82="Jumlah",IF(K82="","Blm Diisi",""),IF(J82="Rupiah",IF(K82="","Blm Diisi",""),IF(J82="","","-"))))))))</f>
        <v>1</v>
      </c>
      <c r="M82" s="68"/>
      <c r="O82" s="248" t="s">
        <v>424</v>
      </c>
      <c r="P82" s="265" t="s">
        <v>626</v>
      </c>
      <c r="Q82" s="259" t="s">
        <v>541</v>
      </c>
    </row>
    <row r="83" spans="1:17" s="1" customFormat="1" ht="110.25">
      <c r="A83">
        <v>82</v>
      </c>
      <c r="B83" s="27"/>
      <c r="C83" s="28"/>
      <c r="D83" s="28"/>
      <c r="E83" s="28"/>
      <c r="F83" s="29" t="s">
        <v>7</v>
      </c>
      <c r="G83" s="2" t="s">
        <v>274</v>
      </c>
      <c r="H83" s="47"/>
      <c r="I83" s="119" t="s">
        <v>161</v>
      </c>
      <c r="J83" s="30" t="s">
        <v>3</v>
      </c>
      <c r="K83" s="109" t="s">
        <v>40</v>
      </c>
      <c r="L83" s="31">
        <f>IF(J83="Ya/Tidak",IF(K83="Ya",1,IF(K83="Tidak",0,"Blm Diisi")),IF(J83="A/B/C",IF(K83="A",1,IF(K83="B",0.5,IF(K83="C",0,"Blm Diisi"))),IF(J83="A/B/C/D",IF(K83="A",1,IF(K83="B",0.67,IF(K83="C",0.33,IF(K83="D",0,"Blm Diisi")))),IF(J83="A/B/C/D/E",IF(K83="A",1,IF(K83="B",0.75,IF(K83="C",0.5,IF(K83="D",0.25,IF(K83="E",0,"Blm Diisi"))))),IF(J83="%",IF(K83="","Blm Diisi",K83),IF(J83="Jumlah",IF(K83="","Blm Diisi",""),IF(J83="Rupiah",IF(K83="","Blm Diisi",""),IF(J83="","","-"))))))))</f>
        <v>1</v>
      </c>
      <c r="M83" s="68"/>
      <c r="O83" s="248" t="s">
        <v>274</v>
      </c>
      <c r="P83" s="266" t="s">
        <v>627</v>
      </c>
      <c r="Q83" s="259" t="s">
        <v>542</v>
      </c>
    </row>
    <row r="84" spans="1:17" s="9" customFormat="1">
      <c r="A84">
        <v>83</v>
      </c>
      <c r="B84" s="101"/>
      <c r="C84" s="102"/>
      <c r="D84" s="102"/>
      <c r="E84" s="28" t="s">
        <v>116</v>
      </c>
      <c r="F84" s="320" t="s">
        <v>67</v>
      </c>
      <c r="G84" s="320"/>
      <c r="H84" s="103">
        <v>1.5</v>
      </c>
      <c r="I84" s="104"/>
      <c r="J84" s="103"/>
      <c r="K84" s="103"/>
      <c r="L84" s="103">
        <f>AVERAGE(L85:L88)*H84</f>
        <v>1.5</v>
      </c>
      <c r="M84" s="105">
        <f>L84/H84</f>
        <v>1</v>
      </c>
      <c r="N84" s="124"/>
      <c r="O84" s="106"/>
      <c r="P84" s="274"/>
      <c r="Q84" s="260"/>
    </row>
    <row r="85" spans="1:17" s="1" customFormat="1" ht="157.5">
      <c r="A85">
        <v>84</v>
      </c>
      <c r="B85" s="27"/>
      <c r="C85" s="28"/>
      <c r="D85" s="28"/>
      <c r="E85" s="28"/>
      <c r="F85" s="29" t="s">
        <v>2</v>
      </c>
      <c r="G85" s="2" t="s">
        <v>275</v>
      </c>
      <c r="H85" s="47"/>
      <c r="I85" s="119" t="s">
        <v>162</v>
      </c>
      <c r="J85" s="30" t="s">
        <v>3</v>
      </c>
      <c r="K85" s="109" t="s">
        <v>40</v>
      </c>
      <c r="L85" s="31">
        <f>IF(J85="Ya/Tidak",IF(K85="Ya",1,IF(K85="Tidak",0,"Blm Diisi")),IF(J85="A/B/C",IF(K85="A",1,IF(K85="B",0.5,IF(K85="C",0,"Blm Diisi"))),IF(J85="A/B/C/D",IF(K85="A",1,IF(K85="B",0.67,IF(K85="C",0.33,IF(K85="D",0,"Blm Diisi")))),IF(J85="A/B/C/D/E",IF(K85="A",1,IF(K85="B",0.75,IF(K85="C",0.5,IF(K85="D",0.25,IF(K85="E",0,"Blm Diisi"))))),IF(J85="%",IF(K85="","Blm Diisi",K85),IF(J85="Jumlah",IF(K85="","Blm Diisi",""),IF(J85="Rupiah",IF(K85="","Blm Diisi",""),IF(J85="","","-"))))))))</f>
        <v>1</v>
      </c>
      <c r="M85" s="68"/>
      <c r="N85" s="123"/>
      <c r="O85" s="248" t="s">
        <v>425</v>
      </c>
      <c r="P85" s="265"/>
      <c r="Q85" s="259" t="s">
        <v>543</v>
      </c>
    </row>
    <row r="86" spans="1:17" s="1" customFormat="1" ht="30">
      <c r="A86"/>
      <c r="B86" s="27"/>
      <c r="C86" s="28"/>
      <c r="D86" s="28"/>
      <c r="E86" s="28"/>
      <c r="F86" s="29" t="s">
        <v>4</v>
      </c>
      <c r="G86" s="2" t="s">
        <v>339</v>
      </c>
      <c r="H86" s="47"/>
      <c r="I86" s="119" t="s">
        <v>340</v>
      </c>
      <c r="J86" s="30" t="s">
        <v>133</v>
      </c>
      <c r="K86" s="109" t="s">
        <v>39</v>
      </c>
      <c r="L86" s="31">
        <f t="shared" ref="L86" si="2">IF(J86="Ya/Tidak",IF(K86="Ya",1,IF(K86="Tidak",0,"Blm Diisi")),IF(J86="A/B/C",IF(K86="A",1,IF(K86="B",0.5,IF(K86="C",0,"Blm Diisi"))),IF(J86="A/B/C/D",IF(K86="A",1,IF(K86="B",0.67,IF(K86="C",0.33,IF(K86="D",0,"Blm Diisi")))),IF(J86="A/B/C/D/E",IF(K86="A",1,IF(K86="B",0.75,IF(K86="C",0.5,IF(K86="D",0.25,IF(K86="E",0,"Blm Diisi"))))),IF(J86="%",IF(K86="","Blm Diisi",K86),IF(J86="Jumlah",IF(K86="","Blm Diisi",""),IF(J86="Rupiah",IF(K86="","Blm Diisi",""),IF(J86="","","-"))))))))</f>
        <v>1</v>
      </c>
      <c r="M86" s="68"/>
      <c r="O86" s="248" t="s">
        <v>426</v>
      </c>
      <c r="P86" s="265"/>
      <c r="Q86" s="259" t="s">
        <v>544</v>
      </c>
    </row>
    <row r="87" spans="1:17" s="1" customFormat="1" ht="110.25">
      <c r="A87">
        <v>89</v>
      </c>
      <c r="B87" s="27"/>
      <c r="C87" s="28"/>
      <c r="D87" s="28"/>
      <c r="E87" s="28"/>
      <c r="F87" s="29" t="s">
        <v>6</v>
      </c>
      <c r="G87" s="3" t="s">
        <v>276</v>
      </c>
      <c r="H87" s="47"/>
      <c r="I87" s="119" t="s">
        <v>163</v>
      </c>
      <c r="J87" s="30" t="s">
        <v>3</v>
      </c>
      <c r="K87" s="109" t="s">
        <v>40</v>
      </c>
      <c r="L87" s="31">
        <f>IF(J87="Ya/Tidak",IF(K87="Ya",1,IF(K87="Tidak",0,"Blm Diisi")),IF(J87="A/B/C",IF(K87="A",1,IF(K87="B",0.5,IF(K87="C",0,"Blm Diisi"))),IF(J87="A/B/C/D",IF(K87="A",1,IF(K87="B",0.67,IF(K87="C",0.33,IF(K87="D",0,"Blm Diisi")))),IF(J87="A/B/C/D/E",IF(K87="A",1,IF(K87="B",0.75,IF(K87="C",0.5,IF(K87="D",0.25,IF(K87="E",0,"Blm Diisi"))))),IF(J87="%",IF(K87="","Blm Diisi",K87),IF(J87="Jumlah",IF(K87="","Blm Diisi",""),IF(J87="Rupiah",IF(K87="","Blm Diisi",""),IF(J87="","","-"))))))))</f>
        <v>1</v>
      </c>
      <c r="M87" s="68"/>
      <c r="O87" s="248" t="s">
        <v>427</v>
      </c>
      <c r="P87" s="265"/>
      <c r="Q87" s="259" t="s">
        <v>545</v>
      </c>
    </row>
    <row r="88" spans="1:17" s="1" customFormat="1" ht="94.5">
      <c r="A88">
        <v>90</v>
      </c>
      <c r="B88" s="27"/>
      <c r="C88" s="28"/>
      <c r="D88" s="28"/>
      <c r="E88" s="28"/>
      <c r="F88" s="29" t="s">
        <v>7</v>
      </c>
      <c r="G88" s="3" t="s">
        <v>277</v>
      </c>
      <c r="H88" s="47"/>
      <c r="I88" s="119" t="s">
        <v>164</v>
      </c>
      <c r="J88" s="30" t="s">
        <v>3</v>
      </c>
      <c r="K88" s="109" t="s">
        <v>40</v>
      </c>
      <c r="L88" s="31">
        <f>IF(J88="Ya/Tidak",IF(K88="Ya",1,IF(K88="Tidak",0,"Blm Diisi")),IF(J88="A/B/C",IF(K88="A",1,IF(K88="B",0.5,IF(K88="C",0,"Blm Diisi"))),IF(J88="A/B/C/D",IF(K88="A",1,IF(K88="B",0.67,IF(K88="C",0.33,IF(K88="D",0,"Blm Diisi")))),IF(J88="A/B/C/D/E",IF(K88="A",1,IF(K88="B",0.75,IF(K88="C",0.5,IF(K88="D",0.25,IF(K88="E",0,"Blm Diisi"))))),IF(J88="%",IF(K88="","Blm Diisi",K88),IF(J88="Jumlah",IF(K88="","Blm Diisi",""),IF(J88="Rupiah",IF(K88="","Blm Diisi",""),IF(J88="","","-"))))))))</f>
        <v>1</v>
      </c>
      <c r="M88" s="68"/>
      <c r="O88" s="248" t="s">
        <v>428</v>
      </c>
      <c r="P88" s="265"/>
      <c r="Q88" s="259" t="s">
        <v>546</v>
      </c>
    </row>
    <row r="89" spans="1:17" s="9" customFormat="1">
      <c r="A89">
        <v>91</v>
      </c>
      <c r="B89" s="101"/>
      <c r="C89" s="102"/>
      <c r="D89" s="102"/>
      <c r="E89" s="28" t="s">
        <v>117</v>
      </c>
      <c r="F89" s="322" t="s">
        <v>68</v>
      </c>
      <c r="G89" s="322"/>
      <c r="H89" s="103">
        <v>1.5</v>
      </c>
      <c r="I89" s="104"/>
      <c r="J89" s="103"/>
      <c r="K89" s="103"/>
      <c r="L89" s="103">
        <f>AVERAGE(L90:L93)*H89</f>
        <v>1.5</v>
      </c>
      <c r="M89" s="105">
        <f>L89/H89</f>
        <v>1</v>
      </c>
      <c r="O89" s="106"/>
      <c r="P89" s="274"/>
      <c r="Q89" s="260"/>
    </row>
    <row r="90" spans="1:17" s="1" customFormat="1" ht="15.6" customHeight="1">
      <c r="A90">
        <v>92</v>
      </c>
      <c r="B90" s="27"/>
      <c r="C90" s="81"/>
      <c r="D90" s="81"/>
      <c r="E90" s="81"/>
      <c r="F90" s="111"/>
      <c r="G90" s="2"/>
      <c r="H90" s="47"/>
      <c r="I90" s="2"/>
      <c r="J90" s="30"/>
      <c r="K90" s="109"/>
      <c r="L90" s="31" t="str">
        <f>IF(J90="Ya/Tidak",IF(K90="Ya",1,IF(K90="Tidak",0,"Blm Diisi")),IF(J90="A/B/C",IF(K90="A",1,IF(K90="B",0.5,IF(K90="C",0,"Blm Diisi"))),IF(J90="A/B/C/D",IF(K90="A",1,IF(K90="B",0.67,IF(K90="C",0.33,IF(K90="D",0,"Blm Diisi")))),IF(J90="A/B/C/D/E",IF(K90="A",1,IF(K90="B",0.75,IF(K90="C",0.5,IF(K90="D",0.25,IF(K90="E",0,"Blm Diisi"))))),IF(J90="%",IF(K90="","Blm Diisi",K90),IF(J90="Jumlah",IF(K90="","Blm Diisi",""),IF(J90="Rupiah",IF(K90="","Blm Diisi",""),IF(J90="","","-"))))))))</f>
        <v/>
      </c>
      <c r="M90" s="68"/>
      <c r="O90" s="248"/>
      <c r="P90" s="265"/>
      <c r="Q90" s="260"/>
    </row>
    <row r="91" spans="1:17" s="1" customFormat="1" ht="157.5">
      <c r="A91">
        <v>93</v>
      </c>
      <c r="B91" s="27"/>
      <c r="C91" s="27"/>
      <c r="D91" s="27"/>
      <c r="E91" s="27"/>
      <c r="F91" s="112" t="s">
        <v>2</v>
      </c>
      <c r="G91" s="2" t="s">
        <v>278</v>
      </c>
      <c r="H91" s="47"/>
      <c r="I91" s="119" t="s">
        <v>165</v>
      </c>
      <c r="J91" s="30" t="s">
        <v>3</v>
      </c>
      <c r="K91" s="109" t="s">
        <v>40</v>
      </c>
      <c r="L91" s="31">
        <f>IF(J91="Ya/Tidak",IF(K91="Ya",1,IF(K91="Tidak",0,"Blm Diisi")),IF(J91="A/B/C",IF(K91="A",1,IF(K91="B",0.5,IF(K91="C",0,"Blm Diisi"))),IF(J91="A/B/C/D",IF(K91="A",1,IF(K91="B",0.67,IF(K91="C",0.33,IF(K91="D",0,"Blm Diisi")))),IF(J91="A/B/C/D/E",IF(K91="A",1,IF(K91="B",0.75,IF(K91="C",0.5,IF(K91="D",0.25,IF(K91="E",0,"Blm Diisi"))))),IF(J91="%",IF(K91="","Blm Diisi",K91),IF(J91="Jumlah",IF(K91="","Blm Diisi",""),IF(J91="Rupiah",IF(K91="","Blm Diisi",""),IF(J91="","","-"))))))))</f>
        <v>1</v>
      </c>
      <c r="M91" s="68"/>
      <c r="O91" s="248" t="s">
        <v>429</v>
      </c>
      <c r="P91" s="265"/>
      <c r="Q91" s="259" t="s">
        <v>547</v>
      </c>
    </row>
    <row r="92" spans="1:17" s="1" customFormat="1" ht="94.5">
      <c r="A92">
        <v>94</v>
      </c>
      <c r="B92" s="27"/>
      <c r="C92" s="28"/>
      <c r="D92" s="28"/>
      <c r="E92" s="28"/>
      <c r="F92" s="29" t="s">
        <v>4</v>
      </c>
      <c r="G92" s="3" t="s">
        <v>279</v>
      </c>
      <c r="H92" s="47"/>
      <c r="I92" s="119" t="s">
        <v>166</v>
      </c>
      <c r="J92" s="30" t="s">
        <v>3</v>
      </c>
      <c r="K92" s="109" t="s">
        <v>40</v>
      </c>
      <c r="L92" s="31">
        <f>IF(J92="Ya/Tidak",IF(K92="Ya",1,IF(K92="Tidak",0,"Blm Diisi")),IF(J92="A/B/C",IF(K92="A",1,IF(K92="B",0.5,IF(K92="C",0,"Blm Diisi"))),IF(J92="A/B/C/D",IF(K92="A",1,IF(K92="B",0.67,IF(K92="C",0.33,IF(K92="D",0,"Blm Diisi")))),IF(J92="A/B/C/D/E",IF(K92="A",1,IF(K92="B",0.75,IF(K92="C",0.5,IF(K92="D",0.25,IF(K92="E",0,"Blm Diisi"))))),IF(J92="%",IF(K92="","Blm Diisi",K92),IF(J92="Jumlah",IF(K92="","Blm Diisi",""),IF(J92="Rupiah",IF(K92="","Blm Diisi",""),IF(J92="","","-"))))))))</f>
        <v>1</v>
      </c>
      <c r="M92" s="68"/>
      <c r="O92" s="248" t="s">
        <v>430</v>
      </c>
      <c r="P92" s="265"/>
      <c r="Q92" s="259" t="s">
        <v>548</v>
      </c>
    </row>
    <row r="93" spans="1:17" s="1" customFormat="1" ht="126">
      <c r="A93">
        <v>95</v>
      </c>
      <c r="B93" s="27"/>
      <c r="C93" s="28"/>
      <c r="D93" s="28"/>
      <c r="E93" s="28"/>
      <c r="F93" s="29" t="s">
        <v>6</v>
      </c>
      <c r="G93" s="3" t="s">
        <v>280</v>
      </c>
      <c r="H93" s="47"/>
      <c r="I93" s="119" t="s">
        <v>167</v>
      </c>
      <c r="J93" s="30" t="s">
        <v>3</v>
      </c>
      <c r="K93" s="109" t="s">
        <v>40</v>
      </c>
      <c r="L93" s="31">
        <f>IF(J93="Ya/Tidak",IF(K93="Ya",1,IF(K93="Tidak",0,"Blm Diisi")),IF(J93="A/B/C",IF(K93="A",1,IF(K93="B",0.5,IF(K93="C",0,"Blm Diisi"))),IF(J93="A/B/C/D",IF(K93="A",1,IF(K93="B",0.67,IF(K93="C",0.33,IF(K93="D",0,"Blm Diisi")))),IF(J93="A/B/C/D/E",IF(K93="A",1,IF(K93="B",0.75,IF(K93="C",0.5,IF(K93="D",0.25,IF(K93="E",0,"Blm Diisi"))))),IF(J93="%",IF(K93="","Blm Diisi",K93),IF(J93="Jumlah",IF(K93="","Blm Diisi",""),IF(J93="Rupiah",IF(K93="","Blm Diisi",""),IF(J93="","","-"))))))))</f>
        <v>1</v>
      </c>
      <c r="M93" s="68"/>
      <c r="O93" s="248" t="s">
        <v>431</v>
      </c>
      <c r="P93" s="265"/>
      <c r="Q93" s="259" t="s">
        <v>549</v>
      </c>
    </row>
    <row r="94" spans="1:17" s="9" customFormat="1">
      <c r="A94">
        <v>96</v>
      </c>
      <c r="B94" s="101"/>
      <c r="C94" s="102"/>
      <c r="D94" s="102"/>
      <c r="E94" s="28" t="s">
        <v>118</v>
      </c>
      <c r="F94" s="320" t="s">
        <v>69</v>
      </c>
      <c r="G94" s="320"/>
      <c r="H94" s="103">
        <v>1.5</v>
      </c>
      <c r="I94" s="104"/>
      <c r="J94" s="103"/>
      <c r="K94" s="103"/>
      <c r="L94" s="103">
        <f>AVERAGE(L95:L99)*H94</f>
        <v>1.5</v>
      </c>
      <c r="M94" s="105">
        <f>L94/H94</f>
        <v>1</v>
      </c>
      <c r="N94" s="124"/>
      <c r="O94" s="106"/>
      <c r="P94" s="274"/>
      <c r="Q94" s="260"/>
    </row>
    <row r="95" spans="1:17" s="1" customFormat="1" ht="157.5">
      <c r="A95">
        <v>97</v>
      </c>
      <c r="B95" s="27"/>
      <c r="C95" s="28"/>
      <c r="D95" s="28"/>
      <c r="E95" s="28"/>
      <c r="F95" s="29" t="s">
        <v>2</v>
      </c>
      <c r="G95" s="2" t="s">
        <v>281</v>
      </c>
      <c r="H95" s="47"/>
      <c r="I95" s="119" t="s">
        <v>284</v>
      </c>
      <c r="J95" s="30" t="s">
        <v>9</v>
      </c>
      <c r="K95" s="109" t="s">
        <v>40</v>
      </c>
      <c r="L95" s="31">
        <f>IF(J95="Ya/Tidak",IF(K95="Ya",1,IF(K95="Tidak",0,"Blm Diisi")),IF(J95="A/B/C",IF(K95="A",1,IF(K95="B",0.5,IF(K95="C",0,"Blm Diisi"))),IF(J95="A/B/C/D",IF(K95="A",1,IF(K95="B",0.67,IF(K95="C",0.33,IF(K95="D",0,"Blm Diisi")))),IF(J95="A/B/C/D/E",IF(K95="A",1,IF(K95="B",0.75,IF(K95="C",0.5,IF(K95="D",0.25,IF(K95="E",0,"Blm Diisi"))))),IF(J95="%",IF(K95="","Blm Diisi",K95),IF(J95="Jumlah",IF(K95="","Blm Diisi",""),IF(J95="Rupiah",IF(K95="","Blm Diisi",""),IF(J95="","","-"))))))))</f>
        <v>1</v>
      </c>
      <c r="M95" s="68"/>
      <c r="N95" s="123"/>
      <c r="O95" s="248" t="s">
        <v>432</v>
      </c>
      <c r="P95" s="265"/>
      <c r="Q95" s="264" t="s">
        <v>550</v>
      </c>
    </row>
    <row r="96" spans="1:17" s="1" customFormat="1" ht="189">
      <c r="A96">
        <v>98</v>
      </c>
      <c r="B96" s="27"/>
      <c r="C96" s="28"/>
      <c r="D96" s="28"/>
      <c r="E96" s="28"/>
      <c r="F96" s="29" t="s">
        <v>4</v>
      </c>
      <c r="G96" s="2" t="s">
        <v>282</v>
      </c>
      <c r="H96" s="47"/>
      <c r="I96" s="119" t="s">
        <v>183</v>
      </c>
      <c r="J96" s="30" t="s">
        <v>9</v>
      </c>
      <c r="K96" s="109" t="s">
        <v>40</v>
      </c>
      <c r="L96" s="31">
        <f>IF(J96="Ya/Tidak",IF(K96="Ya",1,IF(K96="Tidak",0,"Blm Diisi")),IF(J96="A/B/C",IF(K96="A",1,IF(K96="B",0.5,IF(K96="C",0,"Blm Diisi"))),IF(J96="A/B/C/D",IF(K96="A",1,IF(K96="B",0.67,IF(K96="C",0.33,IF(K96="D",0,"Blm Diisi")))),IF(J96="A/B/C/D/E",IF(K96="A",1,IF(K96="B",0.75,IF(K96="C",0.5,IF(K96="D",0.25,IF(K96="E",0,"Blm Diisi"))))),IF(J96="%",IF(K96="","Blm Diisi",K96),IF(J96="Jumlah",IF(K96="","Blm Diisi",""),IF(J96="Rupiah",IF(K96="","Blm Diisi",""),IF(J96="","","-"))))))))</f>
        <v>1</v>
      </c>
      <c r="M96" s="68"/>
      <c r="O96" s="248" t="s">
        <v>433</v>
      </c>
      <c r="P96" s="265"/>
      <c r="Q96" s="259" t="s">
        <v>551</v>
      </c>
    </row>
    <row r="97" spans="1:17" s="1" customFormat="1" ht="126">
      <c r="A97">
        <v>99</v>
      </c>
      <c r="B97" s="27"/>
      <c r="C97" s="28"/>
      <c r="D97" s="28"/>
      <c r="E97" s="28"/>
      <c r="F97" s="29" t="s">
        <v>6</v>
      </c>
      <c r="G97" s="2" t="s">
        <v>283</v>
      </c>
      <c r="H97" s="47"/>
      <c r="I97" s="119" t="s">
        <v>184</v>
      </c>
      <c r="J97" s="30" t="s">
        <v>9</v>
      </c>
      <c r="K97" s="109" t="s">
        <v>40</v>
      </c>
      <c r="L97" s="31">
        <f>IF(J97="Ya/Tidak",IF(K97="Ya",1,IF(K97="Tidak",0,"Blm Diisi")),IF(J97="A/B/C",IF(K97="A",1,IF(K97="B",0.5,IF(K97="C",0,"Blm Diisi"))),IF(J97="A/B/C/D",IF(K97="A",1,IF(K97="B",0.67,IF(K97="C",0.33,IF(K97="D",0,"Blm Diisi")))),IF(J97="A/B/C/D/E",IF(K97="A",1,IF(K97="B",0.75,IF(K97="C",0.5,IF(K97="D",0.25,IF(K97="E",0,"Blm Diisi"))))),IF(J97="%",IF(K97="","Blm Diisi",K97),IF(J97="Jumlah",IF(K97="","Blm Diisi",""),IF(J97="Rupiah",IF(K97="","Blm Diisi",""),IF(J97="","","-"))))))))</f>
        <v>1</v>
      </c>
      <c r="M97" s="68"/>
      <c r="O97" s="248" t="s">
        <v>434</v>
      </c>
      <c r="P97" s="265"/>
      <c r="Q97" s="264" t="s">
        <v>552</v>
      </c>
    </row>
    <row r="98" spans="1:17" s="1" customFormat="1" ht="94.5" customHeight="1">
      <c r="A98">
        <v>100</v>
      </c>
      <c r="B98" s="27"/>
      <c r="C98" s="28"/>
      <c r="D98" s="28"/>
      <c r="E98" s="28"/>
      <c r="F98" s="29" t="s">
        <v>7</v>
      </c>
      <c r="G98" s="3" t="s">
        <v>285</v>
      </c>
      <c r="H98" s="47"/>
      <c r="I98" s="119" t="s">
        <v>168</v>
      </c>
      <c r="J98" s="30" t="s">
        <v>3</v>
      </c>
      <c r="K98" s="109" t="s">
        <v>40</v>
      </c>
      <c r="L98" s="31">
        <f>IF(J98="Ya/Tidak",IF(K98="Ya",1,IF(K98="Tidak",0,"Blm Diisi")),IF(J98="A/B/C",IF(K98="A",1,IF(K98="B",0.5,IF(K98="C",0,"Blm Diisi"))),IF(J98="A/B/C/D",IF(K98="A",1,IF(K98="B",0.67,IF(K98="C",0.33,IF(K98="D",0,"Blm Diisi")))),IF(J98="A/B/C/D/E",IF(K98="A",1,IF(K98="B",0.75,IF(K98="C",0.5,IF(K98="D",0.25,IF(K98="E",0,"Blm Diisi"))))),IF(J98="%",IF(K98="","Blm Diisi",K98),IF(J98="Jumlah",IF(K98="","Blm Diisi",""),IF(J98="Rupiah",IF(K98="","Blm Diisi",""),IF(J98="","","-"))))))))</f>
        <v>1</v>
      </c>
      <c r="M98" s="68"/>
      <c r="O98" s="248" t="s">
        <v>435</v>
      </c>
      <c r="P98" s="265"/>
      <c r="Q98" s="259" t="s">
        <v>553</v>
      </c>
    </row>
    <row r="99" spans="1:17" s="1" customFormat="1" ht="141.75">
      <c r="A99">
        <v>101</v>
      </c>
      <c r="B99" s="27"/>
      <c r="C99" s="28"/>
      <c r="D99" s="28"/>
      <c r="E99" s="28"/>
      <c r="F99" s="29" t="s">
        <v>8</v>
      </c>
      <c r="G99" s="3" t="s">
        <v>286</v>
      </c>
      <c r="H99" s="47"/>
      <c r="I99" s="119" t="s">
        <v>169</v>
      </c>
      <c r="J99" s="30" t="s">
        <v>3</v>
      </c>
      <c r="K99" s="109" t="s">
        <v>40</v>
      </c>
      <c r="L99" s="31">
        <f>IF(J99="Ya/Tidak",IF(K99="Ya",1,IF(K99="Tidak",0,"Blm Diisi")),IF(J99="A/B/C",IF(K99="A",1,IF(K99="B",0.5,IF(K99="C",0,"Blm Diisi"))),IF(J99="A/B/C/D",IF(K99="A",1,IF(K99="B",0.67,IF(K99="C",0.33,IF(K99="D",0,"Blm Diisi")))),IF(J99="A/B/C/D/E",IF(K99="A",1,IF(K99="B",0.75,IF(K99="C",0.5,IF(K99="D",0.25,IF(K99="E",0,"Blm Diisi"))))),IF(J99="%",IF(K99="","Blm Diisi",K99),IF(J99="Jumlah",IF(K99="","Blm Diisi",""),IF(J99="Rupiah",IF(K99="","Blm Diisi",""),IF(J99="","","-"))))))))</f>
        <v>1</v>
      </c>
      <c r="M99" s="68"/>
      <c r="O99" s="248" t="s">
        <v>436</v>
      </c>
      <c r="P99" s="265"/>
      <c r="Q99" s="259" t="s">
        <v>554</v>
      </c>
    </row>
    <row r="100" spans="1:17" s="9" customFormat="1" ht="31.5">
      <c r="A100">
        <v>102</v>
      </c>
      <c r="B100" s="94"/>
      <c r="C100" s="110"/>
      <c r="D100" s="96" t="s">
        <v>18</v>
      </c>
      <c r="E100" s="320" t="s">
        <v>51</v>
      </c>
      <c r="F100" s="320"/>
      <c r="G100" s="320"/>
      <c r="H100" s="97">
        <v>5</v>
      </c>
      <c r="I100" s="98"/>
      <c r="J100" s="97"/>
      <c r="K100" s="97"/>
      <c r="L100" s="97">
        <f>SUM(L101,L106,L117,L121,L113)</f>
        <v>5</v>
      </c>
      <c r="M100" s="99">
        <f>L100/H100</f>
        <v>1</v>
      </c>
      <c r="O100" s="100"/>
      <c r="P100" s="273"/>
      <c r="Q100" s="260"/>
    </row>
    <row r="101" spans="1:17" s="9" customFormat="1">
      <c r="A101">
        <v>103</v>
      </c>
      <c r="B101" s="101"/>
      <c r="C101" s="102"/>
      <c r="D101" s="102"/>
      <c r="E101" s="28" t="s">
        <v>111</v>
      </c>
      <c r="F101" s="320" t="s">
        <v>70</v>
      </c>
      <c r="G101" s="320"/>
      <c r="H101" s="103">
        <v>1</v>
      </c>
      <c r="I101" s="104"/>
      <c r="J101" s="103"/>
      <c r="K101" s="103"/>
      <c r="L101" s="103">
        <f>AVERAGE(L102:L105)*H101</f>
        <v>1</v>
      </c>
      <c r="M101" s="105">
        <f>L101/H101</f>
        <v>1</v>
      </c>
      <c r="N101" s="124"/>
      <c r="O101" s="106"/>
      <c r="P101" s="274"/>
      <c r="Q101" s="260"/>
    </row>
    <row r="102" spans="1:17" s="1" customFormat="1" ht="236.25">
      <c r="A102">
        <v>104</v>
      </c>
      <c r="B102" s="27"/>
      <c r="C102" s="28"/>
      <c r="D102" s="28"/>
      <c r="E102" s="28"/>
      <c r="F102" s="29" t="s">
        <v>2</v>
      </c>
      <c r="G102" s="3" t="s">
        <v>287</v>
      </c>
      <c r="H102" s="47"/>
      <c r="I102" s="119" t="s">
        <v>302</v>
      </c>
      <c r="J102" s="30" t="s">
        <v>5</v>
      </c>
      <c r="K102" s="109" t="s">
        <v>40</v>
      </c>
      <c r="L102" s="31">
        <f>IF(J102="Ya/Tidak",IF(K102="Ya",1,IF(K102="Tidak",0,"Blm Diisi")),IF(J102="A/B/C",IF(K102="A",1,IF(K102="B",0.5,IF(K102="C",0,"Blm Diisi"))),IF(J102="A/B/C/D",IF(K102="A",1,IF(K102="B",0.67,IF(K102="C",0.33,IF(K102="D",0,"Blm Diisi")))),IF(J102="A/B/C/D/E",IF(K102="A",1,IF(K102="B",0.75,IF(K102="C",0.5,IF(K102="D",0.25,IF(K102="E",0,"Blm Diisi"))))),IF(J102="%",IF(K102="","Blm Diisi",K102),IF(J102="Jumlah",IF(K102="","Blm Diisi",""),IF(J102="Rupiah",IF(K102="","Blm Diisi",""),IF(J102="","","-"))))))))</f>
        <v>1</v>
      </c>
      <c r="M102" s="68"/>
      <c r="N102" s="123"/>
      <c r="O102" s="248" t="s">
        <v>440</v>
      </c>
      <c r="P102" s="265"/>
      <c r="Q102" s="264" t="s">
        <v>555</v>
      </c>
    </row>
    <row r="103" spans="1:17" s="1" customFormat="1" ht="173.25">
      <c r="A103">
        <v>105</v>
      </c>
      <c r="B103" s="27"/>
      <c r="C103" s="28"/>
      <c r="D103" s="28"/>
      <c r="E103" s="28"/>
      <c r="F103" s="29" t="s">
        <v>4</v>
      </c>
      <c r="G103" s="2" t="s">
        <v>288</v>
      </c>
      <c r="H103" s="47"/>
      <c r="I103" s="119" t="s">
        <v>303</v>
      </c>
      <c r="J103" s="30" t="s">
        <v>9</v>
      </c>
      <c r="K103" s="109" t="s">
        <v>40</v>
      </c>
      <c r="L103" s="31">
        <f>IF(J103="Ya/Tidak",IF(K103="Ya",1,IF(K103="Tidak",0,"Blm Diisi")),IF(J103="A/B/C",IF(K103="A",1,IF(K103="B",0.5,IF(K103="C",0,"Blm Diisi"))),IF(J103="A/B/C/D",IF(K103="A",1,IF(K103="B",0.67,IF(K103="C",0.33,IF(K103="D",0,"Blm Diisi")))),IF(J103="A/B/C/D/E",IF(K103="A",1,IF(K103="B",0.75,IF(K103="C",0.5,IF(K103="D",0.25,IF(K103="E",0,"Blm Diisi"))))),IF(J103="%",IF(K103="","Blm Diisi",K103),IF(J103="Jumlah",IF(K103="","Blm Diisi",""),IF(J103="Rupiah",IF(K103="","Blm Diisi",""),IF(J103="","","-"))))))))</f>
        <v>1</v>
      </c>
      <c r="M103" s="68"/>
      <c r="O103" s="248" t="s">
        <v>441</v>
      </c>
      <c r="P103" s="265"/>
      <c r="Q103" s="259" t="s">
        <v>556</v>
      </c>
    </row>
    <row r="104" spans="1:17" s="1" customFormat="1" ht="252" customHeight="1">
      <c r="A104">
        <v>106</v>
      </c>
      <c r="B104" s="27"/>
      <c r="C104" s="28"/>
      <c r="D104" s="28"/>
      <c r="E104" s="28"/>
      <c r="F104" s="29" t="s">
        <v>6</v>
      </c>
      <c r="G104" s="2" t="s">
        <v>304</v>
      </c>
      <c r="H104" s="47"/>
      <c r="I104" s="119" t="s">
        <v>305</v>
      </c>
      <c r="J104" s="30" t="s">
        <v>9</v>
      </c>
      <c r="K104" s="109" t="s">
        <v>40</v>
      </c>
      <c r="L104" s="31">
        <f>IF(J104="Ya/Tidak",IF(K104="Ya",1,IF(K104="Tidak",0,"Blm Diisi")),IF(J104="A/B/C",IF(K104="A",1,IF(K104="B",0.5,IF(K104="C",0,"Blm Diisi"))),IF(J104="A/B/C/D",IF(K104="A",1,IF(K104="B",0.67,IF(K104="C",0.33,IF(K104="D",0,"Blm Diisi")))),IF(J104="A/B/C/D/E",IF(K104="A",1,IF(K104="B",0.75,IF(K104="C",0.5,IF(K104="D",0.25,IF(K104="E",0,"Blm Diisi"))))),IF(J104="%",IF(K104="","Blm Diisi",K104),IF(J104="Jumlah",IF(K104="","Blm Diisi",""),IF(J104="Rupiah",IF(K104="","Blm Diisi",""),IF(J104="","","-"))))))))</f>
        <v>1</v>
      </c>
      <c r="M104" s="68"/>
      <c r="O104" s="248" t="s">
        <v>442</v>
      </c>
      <c r="P104" s="265"/>
      <c r="Q104" s="259" t="s">
        <v>557</v>
      </c>
    </row>
    <row r="105" spans="1:17" s="1" customFormat="1" ht="31.5">
      <c r="A105"/>
      <c r="B105" s="27"/>
      <c r="C105" s="28"/>
      <c r="D105" s="28"/>
      <c r="E105" s="28"/>
      <c r="F105" s="29" t="s">
        <v>7</v>
      </c>
      <c r="G105" s="2" t="s">
        <v>356</v>
      </c>
      <c r="H105" s="47"/>
      <c r="I105" s="119" t="s">
        <v>357</v>
      </c>
      <c r="J105" s="30" t="s">
        <v>133</v>
      </c>
      <c r="K105" s="109" t="s">
        <v>39</v>
      </c>
      <c r="L105" s="31">
        <f t="shared" ref="L105" si="3">IF(J105="Ya/Tidak",IF(K105="Ya",1,IF(K105="Tidak",0,"Blm Diisi")),IF(J105="A/B/C",IF(K105="A",1,IF(K105="B",0.5,IF(K105="C",0,"Blm Diisi"))),IF(J105="A/B/C/D",IF(K105="A",1,IF(K105="B",0.67,IF(K105="C",0.33,IF(K105="D",0,"Blm Diisi")))),IF(J105="A/B/C/D/E",IF(K105="A",1,IF(K105="B",0.75,IF(K105="C",0.5,IF(K105="D",0.25,IF(K105="E",0,"Blm Diisi"))))),IF(J105="%",IF(K105="","Blm Diisi",K105),IF(J105="Jumlah",IF(K105="","Blm Diisi",""),IF(J105="Rupiah",IF(K105="","Blm Diisi",""),IF(J105="","","-"))))))))</f>
        <v>1</v>
      </c>
      <c r="M105" s="68"/>
      <c r="O105" s="248" t="s">
        <v>356</v>
      </c>
      <c r="P105" s="265"/>
      <c r="Q105" s="259" t="s">
        <v>558</v>
      </c>
    </row>
    <row r="106" spans="1:17" s="9" customFormat="1">
      <c r="A106">
        <v>108</v>
      </c>
      <c r="B106" s="101"/>
      <c r="C106" s="102"/>
      <c r="D106" s="102"/>
      <c r="E106" s="28" t="s">
        <v>115</v>
      </c>
      <c r="F106" s="320" t="s">
        <v>71</v>
      </c>
      <c r="G106" s="320"/>
      <c r="H106" s="103">
        <v>1</v>
      </c>
      <c r="I106" s="104"/>
      <c r="J106" s="103"/>
      <c r="K106" s="103"/>
      <c r="L106" s="103">
        <f>AVERAGE(L107:L112)*H106</f>
        <v>1</v>
      </c>
      <c r="M106" s="105">
        <f>L106/H106</f>
        <v>1</v>
      </c>
      <c r="N106" s="124"/>
      <c r="O106" s="106"/>
      <c r="P106" s="274"/>
      <c r="Q106" s="260"/>
    </row>
    <row r="107" spans="1:17" s="1" customFormat="1" ht="378">
      <c r="A107">
        <v>109</v>
      </c>
      <c r="B107" s="27"/>
      <c r="C107" s="28"/>
      <c r="D107" s="28"/>
      <c r="E107" s="28"/>
      <c r="F107" s="29" t="s">
        <v>2</v>
      </c>
      <c r="G107" s="2" t="s">
        <v>306</v>
      </c>
      <c r="H107" s="47"/>
      <c r="I107" s="119" t="s">
        <v>307</v>
      </c>
      <c r="J107" s="30" t="s">
        <v>5</v>
      </c>
      <c r="K107" s="109" t="s">
        <v>40</v>
      </c>
      <c r="L107" s="31">
        <f t="shared" ref="L107:L112" si="4">IF(J107="Ya/Tidak",IF(K107="Ya",1,IF(K107="Tidak",0,"Blm Diisi")),IF(J107="A/B/C",IF(K107="A",1,IF(K107="B",0.5,IF(K107="C",0,"Blm Diisi"))),IF(J107="A/B/C/D",IF(K107="A",1,IF(K107="B",0.67,IF(K107="C",0.33,IF(K107="D",0,"Blm Diisi")))),IF(J107="A/B/C/D/E",IF(K107="A",1,IF(K107="B",0.75,IF(K107="C",0.5,IF(K107="D",0.25,IF(K107="E",0,"Blm Diisi"))))),IF(J107="%",IF(K107="","Blm Diisi",K107),IF(J107="Jumlah",IF(K107="","Blm Diisi",""),IF(J107="Rupiah",IF(K107="","Blm Diisi",""),IF(J107="","","-"))))))))</f>
        <v>1</v>
      </c>
      <c r="M107" s="68"/>
      <c r="N107" s="123"/>
      <c r="O107" s="248" t="s">
        <v>443</v>
      </c>
      <c r="P107" s="265"/>
      <c r="Q107" s="259" t="s">
        <v>559</v>
      </c>
    </row>
    <row r="108" spans="1:17" s="1" customFormat="1" ht="189">
      <c r="A108">
        <v>110</v>
      </c>
      <c r="B108" s="27"/>
      <c r="C108" s="28"/>
      <c r="D108" s="28"/>
      <c r="E108" s="28"/>
      <c r="F108" s="29" t="s">
        <v>4</v>
      </c>
      <c r="G108" s="2" t="s">
        <v>289</v>
      </c>
      <c r="H108" s="47"/>
      <c r="I108" s="119" t="s">
        <v>308</v>
      </c>
      <c r="J108" s="30" t="s">
        <v>9</v>
      </c>
      <c r="K108" s="109" t="s">
        <v>40</v>
      </c>
      <c r="L108" s="31">
        <f t="shared" si="4"/>
        <v>1</v>
      </c>
      <c r="M108" s="68"/>
      <c r="O108" s="248" t="s">
        <v>444</v>
      </c>
      <c r="P108" s="265"/>
      <c r="Q108" s="259" t="s">
        <v>560</v>
      </c>
    </row>
    <row r="109" spans="1:17" s="1" customFormat="1" ht="252">
      <c r="A109">
        <v>111</v>
      </c>
      <c r="B109" s="27"/>
      <c r="C109" s="28"/>
      <c r="D109" s="28"/>
      <c r="E109" s="28"/>
      <c r="F109" s="29" t="s">
        <v>6</v>
      </c>
      <c r="G109" s="2" t="s">
        <v>309</v>
      </c>
      <c r="H109" s="47"/>
      <c r="I109" s="119" t="s">
        <v>310</v>
      </c>
      <c r="J109" s="30" t="s">
        <v>9</v>
      </c>
      <c r="K109" s="109" t="s">
        <v>40</v>
      </c>
      <c r="L109" s="31">
        <f t="shared" si="4"/>
        <v>1</v>
      </c>
      <c r="M109" s="68"/>
      <c r="N109" s="122"/>
      <c r="O109" s="248" t="s">
        <v>445</v>
      </c>
      <c r="P109" s="265"/>
      <c r="Q109" s="259" t="s">
        <v>561</v>
      </c>
    </row>
    <row r="110" spans="1:17" s="1" customFormat="1" ht="173.25">
      <c r="A110"/>
      <c r="B110" s="27"/>
      <c r="C110" s="28"/>
      <c r="D110" s="28"/>
      <c r="E110" s="28"/>
      <c r="F110" s="29" t="s">
        <v>7</v>
      </c>
      <c r="G110" s="2" t="s">
        <v>311</v>
      </c>
      <c r="H110" s="47"/>
      <c r="I110" s="119" t="s">
        <v>312</v>
      </c>
      <c r="J110" s="30" t="s">
        <v>9</v>
      </c>
      <c r="K110" s="109" t="s">
        <v>40</v>
      </c>
      <c r="L110" s="31">
        <f t="shared" si="4"/>
        <v>1</v>
      </c>
      <c r="M110" s="68"/>
      <c r="N110" s="123"/>
      <c r="O110" s="248" t="s">
        <v>446</v>
      </c>
      <c r="P110" s="265"/>
      <c r="Q110" s="260"/>
    </row>
    <row r="111" spans="1:17" s="1" customFormat="1" ht="126">
      <c r="A111">
        <v>112</v>
      </c>
      <c r="B111" s="27"/>
      <c r="C111" s="28"/>
      <c r="D111" s="28"/>
      <c r="E111" s="28"/>
      <c r="F111" s="29" t="s">
        <v>8</v>
      </c>
      <c r="G111" s="2" t="s">
        <v>290</v>
      </c>
      <c r="H111" s="47"/>
      <c r="I111" s="119" t="s">
        <v>185</v>
      </c>
      <c r="J111" s="30" t="s">
        <v>9</v>
      </c>
      <c r="K111" s="109" t="s">
        <v>40</v>
      </c>
      <c r="L111" s="31">
        <f t="shared" si="4"/>
        <v>1</v>
      </c>
      <c r="M111" s="68"/>
      <c r="O111" s="248" t="s">
        <v>447</v>
      </c>
      <c r="P111" s="265"/>
      <c r="Q111" s="259" t="s">
        <v>562</v>
      </c>
    </row>
    <row r="112" spans="1:17" s="1" customFormat="1" ht="236.25">
      <c r="A112">
        <v>113</v>
      </c>
      <c r="B112" s="27"/>
      <c r="C112" s="28"/>
      <c r="D112" s="28"/>
      <c r="E112" s="28"/>
      <c r="F112" s="29" t="s">
        <v>10</v>
      </c>
      <c r="G112" s="2" t="s">
        <v>291</v>
      </c>
      <c r="H112" s="47"/>
      <c r="I112" s="119" t="s">
        <v>192</v>
      </c>
      <c r="J112" s="30" t="s">
        <v>5</v>
      </c>
      <c r="K112" s="109" t="s">
        <v>40</v>
      </c>
      <c r="L112" s="31">
        <f t="shared" si="4"/>
        <v>1</v>
      </c>
      <c r="M112" s="68"/>
      <c r="O112" s="248" t="s">
        <v>448</v>
      </c>
      <c r="P112" s="265"/>
      <c r="Q112" s="264" t="s">
        <v>563</v>
      </c>
    </row>
    <row r="113" spans="1:17" s="9" customFormat="1">
      <c r="A113">
        <v>114</v>
      </c>
      <c r="B113" s="101"/>
      <c r="C113" s="102"/>
      <c r="D113" s="102"/>
      <c r="E113" s="28" t="s">
        <v>116</v>
      </c>
      <c r="F113" s="320" t="s">
        <v>316</v>
      </c>
      <c r="G113" s="320"/>
      <c r="H113" s="103">
        <v>1</v>
      </c>
      <c r="I113" s="104"/>
      <c r="J113" s="103"/>
      <c r="K113" s="103"/>
      <c r="L113" s="103">
        <f>AVERAGE(L114:L116)*H113</f>
        <v>1</v>
      </c>
      <c r="M113" s="105">
        <f>L113/H113</f>
        <v>1</v>
      </c>
      <c r="O113" s="106"/>
      <c r="P113" s="274"/>
      <c r="Q113" s="260"/>
    </row>
    <row r="114" spans="1:17" s="1" customFormat="1" ht="204.75" customHeight="1">
      <c r="A114">
        <v>115</v>
      </c>
      <c r="B114" s="27"/>
      <c r="C114" s="28"/>
      <c r="D114" s="28"/>
      <c r="E114" s="28"/>
      <c r="F114" s="29" t="s">
        <v>2</v>
      </c>
      <c r="G114" s="2" t="s">
        <v>358</v>
      </c>
      <c r="H114" s="47"/>
      <c r="I114" s="119" t="s">
        <v>313</v>
      </c>
      <c r="J114" s="30" t="s">
        <v>5</v>
      </c>
      <c r="K114" s="109" t="s">
        <v>40</v>
      </c>
      <c r="L114" s="31">
        <f>IF(J114="Ya/Tidak",IF(K114="Ya",1,IF(K114="Tidak",0,"Blm Diisi")),IF(J114="A/B/C",IF(K114="A",1,IF(K114="B",0.5,IF(K114="C",0,"Blm Diisi"))),IF(J114="A/B/C/D",IF(K114="A",1,IF(K114="B",0.67,IF(K114="C",0.33,IF(K114="D",0,"Blm Diisi")))),IF(J114="A/B/C/D/E",IF(K114="A",1,IF(K114="B",0.75,IF(K114="C",0.5,IF(K114="D",0.25,IF(K114="E",0,"Blm Diisi"))))),IF(J114="%",IF(K114="","Blm Diisi",K114),IF(J114="Jumlah",IF(K114="","Blm Diisi",""),IF(J114="Rupiah",IF(K114="","Blm Diisi",""),IF(J114="","","-"))))))))</f>
        <v>1</v>
      </c>
      <c r="M114" s="68"/>
      <c r="N114" s="122"/>
      <c r="O114" s="248" t="s">
        <v>449</v>
      </c>
      <c r="P114" s="265"/>
      <c r="Q114" s="259" t="s">
        <v>564</v>
      </c>
    </row>
    <row r="115" spans="1:17" s="1" customFormat="1" ht="204.75">
      <c r="A115">
        <v>116</v>
      </c>
      <c r="B115" s="120"/>
      <c r="C115" s="28"/>
      <c r="D115" s="28"/>
      <c r="E115" s="28"/>
      <c r="F115" s="29" t="s">
        <v>4</v>
      </c>
      <c r="G115" s="2" t="s">
        <v>314</v>
      </c>
      <c r="H115" s="47"/>
      <c r="I115" s="119" t="s">
        <v>315</v>
      </c>
      <c r="J115" s="30" t="s">
        <v>3</v>
      </c>
      <c r="K115" s="109" t="s">
        <v>40</v>
      </c>
      <c r="L115" s="31">
        <f>IF(J115="Ya/Tidak",IF(K115="Ya",1,IF(K115="Tidak",0,"Blm Diisi")),IF(J115="A/B/C",IF(K115="A",1,IF(K115="B",0.5,IF(K115="C",0,"Blm Diisi"))),IF(J115="A/B/C/D",IF(K115="A",1,IF(K115="B",0.67,IF(K115="C",0.33,IF(K115="D",0,"Blm Diisi")))),IF(J115="A/B/C/D/E",IF(K115="A",1,IF(K115="B",0.75,IF(K115="C",0.5,IF(K115="D",0.25,IF(K115="E",0,"Blm Diisi"))))),IF(J115="%",IF(K115="","Blm Diisi",K115),IF(J115="Jumlah",IF(K115="","Blm Diisi",""),IF(J115="Rupiah",IF(K115="","Blm Diisi",""),IF(J115="","","-"))))))))</f>
        <v>1</v>
      </c>
      <c r="M115" s="68"/>
      <c r="N115" s="123"/>
      <c r="O115" s="248" t="s">
        <v>450</v>
      </c>
      <c r="P115" s="265"/>
      <c r="Q115" s="264" t="s">
        <v>565</v>
      </c>
    </row>
    <row r="116" spans="1:17" s="1" customFormat="1" ht="94.5">
      <c r="A116">
        <v>117</v>
      </c>
      <c r="B116" s="27"/>
      <c r="C116" s="28"/>
      <c r="D116" s="28"/>
      <c r="E116" s="28"/>
      <c r="F116" s="29" t="s">
        <v>6</v>
      </c>
      <c r="G116" s="2" t="s">
        <v>317</v>
      </c>
      <c r="H116" s="47"/>
      <c r="I116" s="119" t="s">
        <v>318</v>
      </c>
      <c r="J116" s="30" t="s">
        <v>3</v>
      </c>
      <c r="K116" s="109" t="s">
        <v>40</v>
      </c>
      <c r="L116" s="31">
        <f>IF(J116="Ya/Tidak",IF(K116="Ya",1,IF(K116="Tidak",0,"Blm Diisi")),IF(J116="A/B/C",IF(K116="A",1,IF(K116="B",0.5,IF(K116="C",0,"Blm Diisi"))),IF(J116="A/B/C/D",IF(K116="A",1,IF(K116="B",0.67,IF(K116="C",0.33,IF(K116="D",0,"Blm Diisi")))),IF(J116="A/B/C/D/E",IF(K116="A",1,IF(K116="B",0.75,IF(K116="C",0.5,IF(K116="D",0.25,IF(K116="E",0,"Blm Diisi"))))),IF(J116="%",IF(K116="","Blm Diisi",K116),IF(J116="Jumlah",IF(K116="","Blm Diisi",""),IF(J116="Rupiah",IF(K116="","Blm Diisi",""),IF(J116="","","-"))))))))</f>
        <v>1</v>
      </c>
      <c r="M116" s="68"/>
      <c r="O116" s="248" t="s">
        <v>451</v>
      </c>
      <c r="P116" s="265"/>
      <c r="Q116" s="259" t="s">
        <v>566</v>
      </c>
    </row>
    <row r="117" spans="1:17" s="9" customFormat="1">
      <c r="A117">
        <v>114</v>
      </c>
      <c r="B117" s="101"/>
      <c r="C117" s="102"/>
      <c r="D117" s="102"/>
      <c r="E117" s="28" t="s">
        <v>117</v>
      </c>
      <c r="F117" s="320" t="s">
        <v>293</v>
      </c>
      <c r="G117" s="320"/>
      <c r="H117" s="103">
        <v>1</v>
      </c>
      <c r="I117" s="104"/>
      <c r="J117" s="103"/>
      <c r="K117" s="103"/>
      <c r="L117" s="103">
        <f>AVERAGE(L118:L120)*H117</f>
        <v>1</v>
      </c>
      <c r="M117" s="105">
        <f>L117/H117</f>
        <v>1</v>
      </c>
      <c r="O117" s="106"/>
      <c r="P117" s="274"/>
      <c r="Q117" s="260"/>
    </row>
    <row r="118" spans="1:17" s="1" customFormat="1" ht="157.5">
      <c r="A118">
        <v>115</v>
      </c>
      <c r="B118" s="27"/>
      <c r="C118" s="28"/>
      <c r="D118" s="28"/>
      <c r="E118" s="28"/>
      <c r="F118" s="29" t="s">
        <v>2</v>
      </c>
      <c r="G118" s="2" t="s">
        <v>292</v>
      </c>
      <c r="H118" s="47"/>
      <c r="I118" s="119" t="s">
        <v>319</v>
      </c>
      <c r="J118" s="30" t="s">
        <v>5</v>
      </c>
      <c r="K118" s="109" t="s">
        <v>40</v>
      </c>
      <c r="L118" s="31">
        <f>IF(J118="Ya/Tidak",IF(K118="Ya",1,IF(K118="Tidak",0,"Blm Diisi")),IF(J118="A/B/C",IF(K118="A",1,IF(K118="B",0.5,IF(K118="C",0,"Blm Diisi"))),IF(J118="A/B/C/D",IF(K118="A",1,IF(K118="B",0.67,IF(K118="C",0.33,IF(K118="D",0,"Blm Diisi")))),IF(J118="A/B/C/D/E",IF(K118="A",1,IF(K118="B",0.75,IF(K118="C",0.5,IF(K118="D",0.25,IF(K118="E",0,"Blm Diisi"))))),IF(J118="%",IF(K118="","Blm Diisi",K118),IF(J118="Jumlah",IF(K118="","Blm Diisi",""),IF(J118="Rupiah",IF(K118="","Blm Diisi",""),IF(J118="","","-"))))))))</f>
        <v>1</v>
      </c>
      <c r="M118" s="68"/>
      <c r="O118" s="248" t="s">
        <v>452</v>
      </c>
      <c r="P118" s="265"/>
      <c r="Q118" s="259" t="s">
        <v>567</v>
      </c>
    </row>
    <row r="119" spans="1:17" s="1" customFormat="1" ht="94.5" customHeight="1">
      <c r="A119">
        <v>116</v>
      </c>
      <c r="B119" s="27"/>
      <c r="C119" s="28"/>
      <c r="D119" s="28"/>
      <c r="E119" s="28"/>
      <c r="F119" s="29" t="s">
        <v>4</v>
      </c>
      <c r="G119" s="2" t="s">
        <v>294</v>
      </c>
      <c r="H119" s="47"/>
      <c r="I119" s="119" t="s">
        <v>320</v>
      </c>
      <c r="J119" s="30" t="s">
        <v>3</v>
      </c>
      <c r="K119" s="109" t="s">
        <v>40</v>
      </c>
      <c r="L119" s="31">
        <f>IF(J119="Ya/Tidak",IF(K119="Ya",1,IF(K119="Tidak",0,"Blm Diisi")),IF(J119="A/B/C",IF(K119="A",1,IF(K119="B",0.5,IF(K119="C",0,"Blm Diisi"))),IF(J119="A/B/C/D",IF(K119="A",1,IF(K119="B",0.67,IF(K119="C",0.33,IF(K119="D",0,"Blm Diisi")))),IF(J119="A/B/C/D/E",IF(K119="A",1,IF(K119="B",0.75,IF(K119="C",0.5,IF(K119="D",0.25,IF(K119="E",0,"Blm Diisi"))))),IF(J119="%",IF(K119="","Blm Diisi",K119),IF(J119="Jumlah",IF(K119="","Blm Diisi",""),IF(J119="Rupiah",IF(K119="","Blm Diisi",""),IF(J119="","","-"))))))))</f>
        <v>1</v>
      </c>
      <c r="M119" s="68"/>
      <c r="O119" s="248" t="s">
        <v>453</v>
      </c>
      <c r="P119" s="265"/>
      <c r="Q119" s="264" t="s">
        <v>568</v>
      </c>
    </row>
    <row r="120" spans="1:17" s="1" customFormat="1" ht="126">
      <c r="A120">
        <v>117</v>
      </c>
      <c r="B120" s="27"/>
      <c r="C120" s="28"/>
      <c r="D120" s="28"/>
      <c r="E120" s="28"/>
      <c r="F120" s="29" t="s">
        <v>6</v>
      </c>
      <c r="G120" s="2" t="s">
        <v>295</v>
      </c>
      <c r="H120" s="47"/>
      <c r="I120" s="119" t="s">
        <v>141</v>
      </c>
      <c r="J120" s="30" t="s">
        <v>9</v>
      </c>
      <c r="K120" s="109" t="s">
        <v>40</v>
      </c>
      <c r="L120" s="31">
        <f>IF(J120="Ya/Tidak",IF(K120="Ya",1,IF(K120="Tidak",0,"Blm Diisi")),IF(J120="A/B/C",IF(K120="A",1,IF(K120="B",0.5,IF(K120="C",0,"Blm Diisi"))),IF(J120="A/B/C/D",IF(K120="A",1,IF(K120="B",0.67,IF(K120="C",0.33,IF(K120="D",0,"Blm Diisi")))),IF(J120="A/B/C/D/E",IF(K120="A",1,IF(K120="B",0.75,IF(K120="C",0.5,IF(K120="D",0.25,IF(K120="E",0,"Blm Diisi"))))),IF(J120="%",IF(K120="","Blm Diisi",K120),IF(J120="Jumlah",IF(K120="","Blm Diisi",""),IF(J120="Rupiah",IF(K120="","Blm Diisi",""),IF(J120="","","-"))))))))</f>
        <v>1</v>
      </c>
      <c r="M120" s="68"/>
      <c r="O120" s="248" t="s">
        <v>454</v>
      </c>
      <c r="P120" s="265"/>
      <c r="Q120" s="259" t="s">
        <v>569</v>
      </c>
    </row>
    <row r="121" spans="1:17" s="1" customFormat="1">
      <c r="A121"/>
      <c r="B121" s="27"/>
      <c r="C121" s="28"/>
      <c r="D121" s="28"/>
      <c r="E121" s="28" t="s">
        <v>118</v>
      </c>
      <c r="F121" s="320" t="s">
        <v>321</v>
      </c>
      <c r="G121" s="320"/>
      <c r="H121" s="103">
        <v>1</v>
      </c>
      <c r="I121" s="104"/>
      <c r="J121" s="103"/>
      <c r="K121" s="109"/>
      <c r="L121" s="103">
        <f>AVERAGE(L122:L124)*H121</f>
        <v>1</v>
      </c>
      <c r="M121" s="68">
        <f>L121/H121</f>
        <v>1</v>
      </c>
      <c r="O121" s="248"/>
      <c r="P121" s="265"/>
      <c r="Q121" s="260"/>
    </row>
    <row r="122" spans="1:17" s="1" customFormat="1" ht="173.25" customHeight="1">
      <c r="A122"/>
      <c r="B122" s="27"/>
      <c r="C122" s="28"/>
      <c r="D122" s="28"/>
      <c r="E122" s="28"/>
      <c r="F122" s="29" t="s">
        <v>2</v>
      </c>
      <c r="G122" s="2" t="s">
        <v>322</v>
      </c>
      <c r="H122" s="47"/>
      <c r="I122" s="119" t="s">
        <v>323</v>
      </c>
      <c r="J122" s="30" t="s">
        <v>9</v>
      </c>
      <c r="K122" s="109" t="s">
        <v>40</v>
      </c>
      <c r="L122" s="31">
        <f>IF(J122="Ya/Tidak",IF(K122="Ya",1,IF(K122="Tidak",0,"Blm Diisi")),IF(J122="A/B/C",IF(K122="A",1,IF(K122="B",0.5,IF(K122="C",0,"Blm Diisi"))),IF(J122="A/B/C/D",IF(K122="A",1,IF(K122="B",0.67,IF(K122="C",0.33,IF(K122="D",0,"Blm Diisi")))),IF(J122="A/B/C/D/E",IF(K122="A",1,IF(K122="B",0.75,IF(K122="C",0.5,IF(K122="D",0.25,IF(K122="E",0,"Blm Diisi"))))),IF(J122="%",IF(K122="","Blm Diisi",K122),IF(J122="Jumlah",IF(K122="","Blm Diisi",""),IF(J122="Rupiah",IF(K122="","Blm Diisi",""),IF(J122="","","-"))))))))</f>
        <v>1</v>
      </c>
      <c r="M122" s="68"/>
      <c r="O122" s="248" t="s">
        <v>455</v>
      </c>
      <c r="P122" s="265"/>
      <c r="Q122" s="259" t="s">
        <v>570</v>
      </c>
    </row>
    <row r="123" spans="1:17" s="1" customFormat="1" ht="31.5">
      <c r="A123"/>
      <c r="B123" s="27"/>
      <c r="C123" s="28"/>
      <c r="D123" s="28"/>
      <c r="E123" s="28"/>
      <c r="F123" s="29" t="s">
        <v>359</v>
      </c>
      <c r="G123" s="2" t="s">
        <v>360</v>
      </c>
      <c r="H123" s="47"/>
      <c r="I123" s="119" t="s">
        <v>361</v>
      </c>
      <c r="J123" s="30" t="s">
        <v>133</v>
      </c>
      <c r="K123" s="109" t="s">
        <v>39</v>
      </c>
      <c r="L123" s="31">
        <f t="shared" ref="L123" si="5">IF(J123="Ya/Tidak",IF(K123="Ya",1,IF(K123="Tidak",0,"Blm Diisi")),IF(J123="A/B/C",IF(K123="A",1,IF(K123="B",0.5,IF(K123="C",0,"Blm Diisi"))),IF(J123="A/B/C/D",IF(K123="A",1,IF(K123="B",0.67,IF(K123="C",0.33,IF(K123="D",0,"Blm Diisi")))),IF(J123="A/B/C/D/E",IF(K123="A",1,IF(K123="B",0.75,IF(K123="C",0.5,IF(K123="D",0.25,IF(K123="E",0,"Blm Diisi"))))),IF(J123="%",IF(K123="","Blm Diisi",K123),IF(J123="Jumlah",IF(K123="","Blm Diisi",""),IF(J123="Rupiah",IF(K123="","Blm Diisi",""),IF(J123="","","-"))))))))</f>
        <v>1</v>
      </c>
      <c r="M123" s="68"/>
      <c r="N123" s="122"/>
      <c r="O123" s="248" t="s">
        <v>457</v>
      </c>
      <c r="P123" s="265"/>
      <c r="Q123" s="259" t="s">
        <v>570</v>
      </c>
    </row>
    <row r="124" spans="1:17" s="1" customFormat="1" ht="47.25">
      <c r="A124"/>
      <c r="B124" s="27"/>
      <c r="C124" s="28"/>
      <c r="D124" s="28"/>
      <c r="E124" s="28"/>
      <c r="F124" s="29" t="s">
        <v>4</v>
      </c>
      <c r="G124" s="2" t="s">
        <v>324</v>
      </c>
      <c r="H124" s="47"/>
      <c r="I124" s="119" t="s">
        <v>325</v>
      </c>
      <c r="J124" s="30" t="s">
        <v>3</v>
      </c>
      <c r="K124" s="109" t="s">
        <v>40</v>
      </c>
      <c r="L124" s="31">
        <f>IF(J124="Ya/Tidak",IF(K124="Ya",1,IF(K124="Tidak",0,"Blm Diisi")),IF(J124="A/B/C",IF(K124="A",1,IF(K124="B",0.5,IF(K124="C",0,"Blm Diisi"))),IF(J124="A/B/C/D",IF(K124="A",1,IF(K124="B",0.67,IF(K124="C",0.33,IF(K124="D",0,"Blm Diisi")))),IF(J124="A/B/C/D/E",IF(K124="A",1,IF(K124="B",0.75,IF(K124="C",0.5,IF(K124="D",0.25,IF(K124="E",0,"Blm Diisi"))))),IF(J124="%",IF(K124="","Blm Diisi",K124),IF(J124="Jumlah",IF(K124="","Blm Diisi",""),IF(J124="Rupiah",IF(K124="","Blm Diisi",""),IF(J124="","","-"))))))))</f>
        <v>1</v>
      </c>
      <c r="M124" s="68"/>
      <c r="N124" s="123"/>
      <c r="O124" s="248" t="s">
        <v>456</v>
      </c>
      <c r="P124" s="265"/>
      <c r="Q124" s="259" t="s">
        <v>571</v>
      </c>
    </row>
    <row r="125" spans="1:17" s="14" customFormat="1" ht="18">
      <c r="A125">
        <v>118</v>
      </c>
      <c r="B125" s="89"/>
      <c r="C125" s="89" t="s">
        <v>12</v>
      </c>
      <c r="D125" s="321" t="s">
        <v>75</v>
      </c>
      <c r="E125" s="321"/>
      <c r="F125" s="321"/>
      <c r="G125" s="321"/>
      <c r="H125" s="90">
        <v>30</v>
      </c>
      <c r="I125" s="91"/>
      <c r="J125" s="90"/>
      <c r="K125" s="90"/>
      <c r="L125" s="90">
        <f>SUM(L126,L138,L148,L158,L167,L190)</f>
        <v>25.576190476190476</v>
      </c>
      <c r="M125" s="92">
        <f>L125/H125</f>
        <v>0.85253968253968249</v>
      </c>
      <c r="O125" s="93"/>
      <c r="P125" s="272"/>
      <c r="Q125" s="261"/>
    </row>
    <row r="126" spans="1:17" s="9" customFormat="1">
      <c r="A126">
        <v>5</v>
      </c>
      <c r="B126" s="94"/>
      <c r="C126" s="95"/>
      <c r="D126" s="96" t="s">
        <v>14</v>
      </c>
      <c r="E126" s="320" t="s">
        <v>43</v>
      </c>
      <c r="F126" s="320"/>
      <c r="G126" s="320"/>
      <c r="H126" s="97">
        <v>4</v>
      </c>
      <c r="I126" s="98"/>
      <c r="J126" s="97"/>
      <c r="K126" s="97"/>
      <c r="L126" s="97">
        <f>SUM(L127,L134,L136)</f>
        <v>3.1428571428571428</v>
      </c>
      <c r="M126" s="99">
        <f>L126/H126</f>
        <v>0.7857142857142857</v>
      </c>
      <c r="O126" s="100"/>
      <c r="P126" s="273"/>
      <c r="Q126" s="260"/>
    </row>
    <row r="127" spans="1:17" s="9" customFormat="1">
      <c r="A127">
        <v>120</v>
      </c>
      <c r="B127" s="101"/>
      <c r="C127" s="102"/>
      <c r="D127" s="102"/>
      <c r="E127" s="28" t="s">
        <v>111</v>
      </c>
      <c r="F127" s="320" t="s">
        <v>76</v>
      </c>
      <c r="G127" s="320"/>
      <c r="H127" s="103">
        <v>2</v>
      </c>
      <c r="I127" s="104"/>
      <c r="J127" s="103"/>
      <c r="K127" s="103"/>
      <c r="L127" s="103">
        <f>AVERAGE(L128:L133)*H127</f>
        <v>1.1428571428571428</v>
      </c>
      <c r="M127" s="105">
        <f>L127/H127</f>
        <v>0.5714285714285714</v>
      </c>
      <c r="O127" s="106"/>
      <c r="P127" s="274"/>
      <c r="Q127" s="260"/>
    </row>
    <row r="128" spans="1:17" s="126" customFormat="1" ht="47.25">
      <c r="A128" s="125">
        <v>121</v>
      </c>
      <c r="B128" s="129"/>
      <c r="C128" s="130"/>
      <c r="D128" s="130"/>
      <c r="E128" s="130"/>
      <c r="F128" s="131" t="s">
        <v>2</v>
      </c>
      <c r="G128" s="132" t="s">
        <v>44</v>
      </c>
      <c r="H128" s="133"/>
      <c r="I128" s="132" t="s">
        <v>53</v>
      </c>
      <c r="J128" s="134" t="s">
        <v>29</v>
      </c>
      <c r="K128" s="135">
        <f>IF(OR(K129="",K130=""),"Blm Diisi",IF(K130/K129&gt;1,1,K130/K129))</f>
        <v>1</v>
      </c>
      <c r="L128" s="136">
        <f t="shared" ref="L128:L133" si="6">IF(J128="Ya/Tidak",IF(K128="Ya",1,IF(K128="Tidak",0,"Blm Diisi")),IF(J128="A/B/C",IF(K128="A",1,IF(K128="B",0.5,IF(K128="C",0,"Blm Diisi"))),IF(J128="A/B/C/D",IF(K128="A",1,IF(K128="B",0.67,IF(K128="C",0.33,IF(K128="D",0,"Blm Diisi")))),IF(J128="A/B/C/D/E",IF(K128="A",1,IF(K128="B",0.75,IF(K128="C",0.5,IF(K128="D",0.25,IF(K128="E",0,"Blm Diisi"))))),IF(J128="%",IF(K128="","Blm Diisi",K128),IF(J128="Jumlah",IF(K128="","Blm Diisi",""),IF(J128="Rupiah",IF(K128="","Blm Diisi",""),IF(J128="","","-"))))))))</f>
        <v>1</v>
      </c>
      <c r="M128" s="137"/>
      <c r="N128" s="138"/>
      <c r="O128" s="139"/>
      <c r="P128" s="290"/>
      <c r="Q128" s="262"/>
    </row>
    <row r="129" spans="1:17" s="1" customFormat="1" ht="230.25" customHeight="1">
      <c r="A129">
        <v>122</v>
      </c>
      <c r="B129" s="129"/>
      <c r="C129" s="130"/>
      <c r="D129" s="130"/>
      <c r="E129" s="130"/>
      <c r="F129" s="131"/>
      <c r="G129" s="140" t="s">
        <v>196</v>
      </c>
      <c r="H129" s="133"/>
      <c r="I129" s="132"/>
      <c r="J129" s="134" t="s">
        <v>30</v>
      </c>
      <c r="K129" s="141">
        <v>7</v>
      </c>
      <c r="L129" s="136" t="str">
        <f t="shared" si="6"/>
        <v/>
      </c>
      <c r="M129" s="137"/>
      <c r="N129" s="138"/>
      <c r="O129" s="132" t="s">
        <v>459</v>
      </c>
      <c r="P129" s="262"/>
      <c r="Q129" s="262"/>
    </row>
    <row r="130" spans="1:17" s="126" customFormat="1" ht="228" customHeight="1">
      <c r="A130" s="125">
        <v>123</v>
      </c>
      <c r="B130" s="129"/>
      <c r="C130" s="130"/>
      <c r="D130" s="130"/>
      <c r="E130" s="130"/>
      <c r="F130" s="131"/>
      <c r="G130" s="140" t="s">
        <v>73</v>
      </c>
      <c r="H130" s="133"/>
      <c r="I130" s="138"/>
      <c r="J130" s="134" t="s">
        <v>30</v>
      </c>
      <c r="K130" s="141">
        <v>7</v>
      </c>
      <c r="L130" s="136" t="str">
        <f t="shared" si="6"/>
        <v/>
      </c>
      <c r="M130" s="137"/>
      <c r="N130" s="138"/>
      <c r="O130" s="132" t="s">
        <v>481</v>
      </c>
      <c r="P130" s="262"/>
      <c r="Q130" s="262"/>
    </row>
    <row r="131" spans="1:17" s="126" customFormat="1" ht="31.5">
      <c r="A131" s="125">
        <v>125</v>
      </c>
      <c r="B131" s="129"/>
      <c r="C131" s="130"/>
      <c r="D131" s="130"/>
      <c r="E131" s="130"/>
      <c r="F131" s="131" t="s">
        <v>4</v>
      </c>
      <c r="G131" s="132" t="s">
        <v>72</v>
      </c>
      <c r="H131" s="133"/>
      <c r="I131" s="132"/>
      <c r="J131" s="134" t="s">
        <v>29</v>
      </c>
      <c r="K131" s="135">
        <f>IF(OR(K132="",K133=""),"Blm Diisi",IF(K133/K132&gt;1,1,K133/K132))</f>
        <v>0.14285714285714285</v>
      </c>
      <c r="L131" s="136">
        <f t="shared" si="6"/>
        <v>0.14285714285714285</v>
      </c>
      <c r="M131" s="137"/>
      <c r="N131" s="138"/>
      <c r="O131" s="139"/>
      <c r="P131" s="290"/>
      <c r="Q131" s="262"/>
    </row>
    <row r="132" spans="1:17" s="1" customFormat="1" ht="225" customHeight="1">
      <c r="A132">
        <v>126</v>
      </c>
      <c r="B132" s="129"/>
      <c r="C132" s="130"/>
      <c r="D132" s="130"/>
      <c r="E132" s="130"/>
      <c r="F132" s="131"/>
      <c r="G132" s="132" t="s">
        <v>73</v>
      </c>
      <c r="H132" s="133"/>
      <c r="I132" s="132"/>
      <c r="J132" s="134" t="s">
        <v>30</v>
      </c>
      <c r="K132" s="141">
        <v>7</v>
      </c>
      <c r="L132" s="136" t="str">
        <f t="shared" si="6"/>
        <v/>
      </c>
      <c r="M132" s="137"/>
      <c r="N132" s="138"/>
      <c r="O132" s="132" t="s">
        <v>458</v>
      </c>
      <c r="P132" s="262"/>
      <c r="Q132" s="262"/>
    </row>
    <row r="133" spans="1:17" s="1" customFormat="1" ht="47.25">
      <c r="A133">
        <v>127</v>
      </c>
      <c r="B133" s="129"/>
      <c r="C133" s="130"/>
      <c r="D133" s="130"/>
      <c r="E133" s="130"/>
      <c r="F133" s="131"/>
      <c r="G133" s="132" t="s">
        <v>74</v>
      </c>
      <c r="H133" s="133"/>
      <c r="I133" s="132"/>
      <c r="J133" s="134" t="s">
        <v>30</v>
      </c>
      <c r="K133" s="141">
        <v>1</v>
      </c>
      <c r="L133" s="136" t="str">
        <f t="shared" si="6"/>
        <v/>
      </c>
      <c r="M133" s="137"/>
      <c r="N133" s="138"/>
      <c r="O133" s="139" t="s">
        <v>484</v>
      </c>
      <c r="P133" s="290"/>
      <c r="Q133" s="262"/>
    </row>
    <row r="134" spans="1:17" s="9" customFormat="1">
      <c r="A134">
        <v>128</v>
      </c>
      <c r="B134" s="142"/>
      <c r="C134" s="143"/>
      <c r="D134" s="143"/>
      <c r="E134" s="130" t="s">
        <v>115</v>
      </c>
      <c r="F134" s="315" t="s">
        <v>77</v>
      </c>
      <c r="G134" s="315" t="s">
        <v>77</v>
      </c>
      <c r="H134" s="144">
        <v>1</v>
      </c>
      <c r="I134" s="145"/>
      <c r="J134" s="144"/>
      <c r="K134" s="144"/>
      <c r="L134" s="144">
        <f>AVERAGE(L135)*H134</f>
        <v>1</v>
      </c>
      <c r="M134" s="146">
        <f>L134/H134</f>
        <v>1</v>
      </c>
      <c r="N134" s="147"/>
      <c r="O134" s="148"/>
      <c r="P134" s="291"/>
      <c r="Q134" s="262"/>
    </row>
    <row r="135" spans="1:17" s="126" customFormat="1" ht="236.25">
      <c r="A135" s="125">
        <v>129</v>
      </c>
      <c r="B135" s="129"/>
      <c r="C135" s="130"/>
      <c r="D135" s="130"/>
      <c r="E135" s="130"/>
      <c r="F135" s="149" t="s">
        <v>120</v>
      </c>
      <c r="G135" s="132" t="s">
        <v>78</v>
      </c>
      <c r="H135" s="133"/>
      <c r="I135" s="150" t="s">
        <v>332</v>
      </c>
      <c r="J135" s="134" t="s">
        <v>5</v>
      </c>
      <c r="K135" s="151" t="s">
        <v>40</v>
      </c>
      <c r="L135" s="136">
        <f>IF(J135="Ya/Tidak",IF(K135="Ya",1,IF(K135="Tidak",0,"Blm Diisi")),IF(J135="A/B/C",IF(K135="A",1,IF(K135="B",0.5,IF(K135="C",0,"Blm Diisi"))),IF(J135="A/B/C/D",IF(K135="A",1,IF(K135="B",0.67,IF(K135="C",0.33,IF(K135="D",0,"Blm Diisi")))),IF(J135="A/B/C/D/E",IF(K135="A",1,IF(K135="B",0.75,IF(K135="C",0.5,IF(K135="D",0.25,IF(K135="E",0,"Blm Diisi"))))),IF(J135="%",IF(K135="","Blm Diisi",K135),IF(J135="Jumlah",IF(K135="","Blm Diisi",""),IF(J135="Rupiah",IF(K135="","Blm Diisi",""),IF(J135="","","-"))))))))</f>
        <v>1</v>
      </c>
      <c r="M135" s="137"/>
      <c r="N135" s="138"/>
      <c r="O135" s="139" t="s">
        <v>485</v>
      </c>
      <c r="P135" s="290"/>
      <c r="Q135" s="262"/>
    </row>
    <row r="136" spans="1:17" s="9" customFormat="1">
      <c r="A136">
        <v>130</v>
      </c>
      <c r="B136" s="142"/>
      <c r="C136" s="143"/>
      <c r="D136" s="143"/>
      <c r="E136" s="130" t="s">
        <v>116</v>
      </c>
      <c r="F136" s="315" t="s">
        <v>79</v>
      </c>
      <c r="G136" s="315" t="s">
        <v>79</v>
      </c>
      <c r="H136" s="144">
        <v>1</v>
      </c>
      <c r="I136" s="145"/>
      <c r="J136" s="144"/>
      <c r="K136" s="144"/>
      <c r="L136" s="144">
        <f>AVERAGE(L137)*H136</f>
        <v>1</v>
      </c>
      <c r="M136" s="146">
        <f>L136/H136</f>
        <v>1</v>
      </c>
      <c r="N136" s="147"/>
      <c r="O136" s="148"/>
      <c r="P136" s="291"/>
      <c r="Q136" s="262"/>
    </row>
    <row r="137" spans="1:17" s="126" customFormat="1" ht="204.75">
      <c r="A137" s="125">
        <v>131</v>
      </c>
      <c r="B137" s="129"/>
      <c r="C137" s="130"/>
      <c r="D137" s="130"/>
      <c r="E137" s="130"/>
      <c r="F137" s="149" t="s">
        <v>120</v>
      </c>
      <c r="G137" s="132" t="s">
        <v>80</v>
      </c>
      <c r="H137" s="133"/>
      <c r="I137" s="150" t="s">
        <v>81</v>
      </c>
      <c r="J137" s="134" t="s">
        <v>9</v>
      </c>
      <c r="K137" s="151" t="s">
        <v>40</v>
      </c>
      <c r="L137" s="136">
        <f>IF(J137="Ya/Tidak",IF(K137="Ya",1,IF(K137="Tidak",0,"Blm Diisi")),IF(J137="A/B/C",IF(K137="A",1,IF(K137="B",0.5,IF(K137="C",0,"Blm Diisi"))),IF(J137="A/B/C/D",IF(K137="A",1,IF(K137="B",0.67,IF(K137="C",0.33,IF(K137="D",0,"Blm Diisi")))),IF(J137="A/B/C/D/E",IF(K137="A",1,IF(K137="B",0.75,IF(K137="C",0.5,IF(K137="D",0.25,IF(K137="E",0,"Blm Diisi"))))),IF(J137="%",IF(K137="","Blm Diisi",K137),IF(J137="Jumlah",IF(K137="","Blm Diisi",""),IF(J137="Rupiah",IF(K137="","Blm Diisi",""),IF(J137="","","-"))))))))</f>
        <v>1</v>
      </c>
      <c r="M137" s="137"/>
      <c r="N137" s="138"/>
      <c r="O137" s="139" t="s">
        <v>486</v>
      </c>
      <c r="P137" s="290"/>
      <c r="Q137" s="262"/>
    </row>
    <row r="138" spans="1:17" s="9" customFormat="1" ht="31.5">
      <c r="A138">
        <v>134</v>
      </c>
      <c r="B138" s="152"/>
      <c r="C138" s="153"/>
      <c r="D138" s="154" t="s">
        <v>15</v>
      </c>
      <c r="E138" s="315" t="s">
        <v>45</v>
      </c>
      <c r="F138" s="315"/>
      <c r="G138" s="315"/>
      <c r="H138" s="155">
        <v>3.5</v>
      </c>
      <c r="I138" s="156"/>
      <c r="J138" s="155"/>
      <c r="K138" s="155"/>
      <c r="L138" s="155">
        <f>SUM(L139,L141,L144)</f>
        <v>3.5</v>
      </c>
      <c r="M138" s="157">
        <f>L138/H138</f>
        <v>1</v>
      </c>
      <c r="N138" s="147"/>
      <c r="O138" s="158"/>
      <c r="P138" s="292"/>
      <c r="Q138" s="262"/>
    </row>
    <row r="139" spans="1:17" s="9" customFormat="1">
      <c r="A139">
        <v>135</v>
      </c>
      <c r="B139" s="142"/>
      <c r="C139" s="143"/>
      <c r="D139" s="143"/>
      <c r="E139" s="130" t="s">
        <v>111</v>
      </c>
      <c r="F139" s="315" t="s">
        <v>83</v>
      </c>
      <c r="G139" s="315"/>
      <c r="H139" s="144">
        <v>0.5</v>
      </c>
      <c r="I139" s="145"/>
      <c r="J139" s="144"/>
      <c r="K139" s="144"/>
      <c r="L139" s="144">
        <f>AVERAGE(L140)*H139</f>
        <v>0.5</v>
      </c>
      <c r="M139" s="146">
        <f>L139/H139</f>
        <v>1</v>
      </c>
      <c r="N139" s="147"/>
      <c r="O139" s="148"/>
      <c r="P139" s="291"/>
      <c r="Q139" s="262"/>
    </row>
    <row r="140" spans="1:17" s="1" customFormat="1" ht="157.5">
      <c r="A140">
        <v>136</v>
      </c>
      <c r="B140" s="129"/>
      <c r="C140" s="130"/>
      <c r="D140" s="130"/>
      <c r="E140" s="130"/>
      <c r="F140" s="149" t="s">
        <v>120</v>
      </c>
      <c r="G140" s="132" t="s">
        <v>46</v>
      </c>
      <c r="H140" s="133"/>
      <c r="I140" s="150" t="s">
        <v>82</v>
      </c>
      <c r="J140" s="134" t="s">
        <v>9</v>
      </c>
      <c r="K140" s="151" t="s">
        <v>40</v>
      </c>
      <c r="L140" s="136">
        <f>IF(J140="Ya/Tidak",IF(K140="Ya",1,IF(K140="Tidak",0,"Blm Diisi")),IF(J140="A/B/C",IF(K140="A",1,IF(K140="B",0.5,IF(K140="C",0,"Blm Diisi"))),IF(J140="A/B/C/D",IF(K140="A",1,IF(K140="B",0.67,IF(K140="C",0.33,IF(K140="D",0,"Blm Diisi")))),IF(J140="A/B/C/D/E",IF(K140="A",1,IF(K140="B",0.75,IF(K140="C",0.5,IF(K140="D",0.25,IF(K140="E",0,"Blm Diisi"))))),IF(J140="%",IF(K140="","Blm Diisi",K140),IF(J140="Jumlah",IF(K140="","Blm Diisi",""),IF(J140="Rupiah",IF(K140="","Blm Diisi",""),IF(J140="","","-"))))))))</f>
        <v>1</v>
      </c>
      <c r="M140" s="137"/>
      <c r="N140" s="159"/>
      <c r="O140" s="139" t="s">
        <v>460</v>
      </c>
      <c r="P140" s="290"/>
      <c r="Q140" s="262"/>
    </row>
    <row r="141" spans="1:17" s="9" customFormat="1">
      <c r="A141">
        <v>137</v>
      </c>
      <c r="B141" s="142"/>
      <c r="C141" s="143"/>
      <c r="D141" s="143"/>
      <c r="E141" s="130" t="s">
        <v>115</v>
      </c>
      <c r="F141" s="315" t="s">
        <v>84</v>
      </c>
      <c r="G141" s="315"/>
      <c r="H141" s="144">
        <v>1</v>
      </c>
      <c r="I141" s="145"/>
      <c r="J141" s="144"/>
      <c r="K141" s="144"/>
      <c r="L141" s="144">
        <f>AVERAGE(L142:L143)*H141</f>
        <v>1</v>
      </c>
      <c r="M141" s="146">
        <f>L141/H141</f>
        <v>1</v>
      </c>
      <c r="N141" s="160"/>
      <c r="O141" s="148"/>
      <c r="P141" s="291"/>
      <c r="Q141" s="262"/>
    </row>
    <row r="142" spans="1:17" s="1" customFormat="1" ht="141.75">
      <c r="A142">
        <v>138</v>
      </c>
      <c r="B142" s="129"/>
      <c r="C142" s="130"/>
      <c r="D142" s="130"/>
      <c r="E142" s="130"/>
      <c r="F142" s="131" t="s">
        <v>41</v>
      </c>
      <c r="G142" s="132" t="s">
        <v>85</v>
      </c>
      <c r="H142" s="133"/>
      <c r="I142" s="150" t="s">
        <v>86</v>
      </c>
      <c r="J142" s="134" t="s">
        <v>3</v>
      </c>
      <c r="K142" s="151" t="s">
        <v>40</v>
      </c>
      <c r="L142" s="136">
        <f>IF(J142="Ya/Tidak",IF(K142="Ya",1,IF(K142="Tidak",0,"Blm Diisi")),IF(J142="A/B/C",IF(K142="A",1,IF(K142="B",0.5,IF(K142="C",0,"Blm Diisi"))),IF(J142="A/B/C/D",IF(K142="A",1,IF(K142="B",0.67,IF(K142="C",0.33,IF(K142="D",0,"Blm Diisi")))),IF(J142="A/B/C/D/E",IF(K142="A",1,IF(K142="B",0.75,IF(K142="C",0.5,IF(K142="D",0.25,IF(K142="E",0,"Blm Diisi"))))),IF(J142="%",IF(K142="","Blm Diisi",K142),IF(J142="Jumlah",IF(K142="","Blm Diisi",""),IF(J142="Rupiah",IF(K142="","Blm Diisi",""),IF(J142="","","-"))))))))</f>
        <v>1</v>
      </c>
      <c r="M142" s="137"/>
      <c r="N142" s="138"/>
      <c r="O142" s="139" t="s">
        <v>388</v>
      </c>
      <c r="P142" s="290"/>
      <c r="Q142" s="262"/>
    </row>
    <row r="143" spans="1:17" s="1" customFormat="1" ht="157.5">
      <c r="A143">
        <v>139</v>
      </c>
      <c r="B143" s="129"/>
      <c r="C143" s="130"/>
      <c r="D143" s="130"/>
      <c r="E143" s="130"/>
      <c r="F143" s="131" t="s">
        <v>42</v>
      </c>
      <c r="G143" s="132" t="s">
        <v>87</v>
      </c>
      <c r="H143" s="133"/>
      <c r="I143" s="150" t="s">
        <v>88</v>
      </c>
      <c r="J143" s="134" t="s">
        <v>3</v>
      </c>
      <c r="K143" s="151" t="s">
        <v>40</v>
      </c>
      <c r="L143" s="136">
        <f>IF(J143="Ya/Tidak",IF(K143="Ya",1,IF(K143="Tidak",0,"Blm Diisi")),IF(J143="A/B/C",IF(K143="A",1,IF(K143="B",0.5,IF(K143="C",0,"Blm Diisi"))),IF(J143="A/B/C/D",IF(K143="A",1,IF(K143="B",0.67,IF(K143="C",0.33,IF(K143="D",0,"Blm Diisi")))),IF(J143="A/B/C/D/E",IF(K143="A",1,IF(K143="B",0.75,IF(K143="C",0.5,IF(K143="D",0.25,IF(K143="E",0,"Blm Diisi"))))),IF(J143="%",IF(K143="","Blm Diisi",K143),IF(J143="Jumlah",IF(K143="","Blm Diisi",""),IF(J143="Rupiah",IF(K143="","Blm Diisi",""),IF(J143="","","-"))))))))</f>
        <v>1</v>
      </c>
      <c r="M143" s="137"/>
      <c r="N143" s="138"/>
      <c r="O143" s="139" t="s">
        <v>389</v>
      </c>
      <c r="P143" s="290"/>
      <c r="Q143" s="262"/>
    </row>
    <row r="144" spans="1:17" s="127" customFormat="1">
      <c r="A144" s="125">
        <v>140</v>
      </c>
      <c r="B144" s="142"/>
      <c r="C144" s="143"/>
      <c r="D144" s="143"/>
      <c r="E144" s="130" t="s">
        <v>116</v>
      </c>
      <c r="F144" s="315" t="s">
        <v>89</v>
      </c>
      <c r="G144" s="315"/>
      <c r="H144" s="144">
        <v>2</v>
      </c>
      <c r="I144" s="145"/>
      <c r="J144" s="144"/>
      <c r="K144" s="144"/>
      <c r="L144" s="144">
        <f>AVERAGE(L145:L147)*H144</f>
        <v>2</v>
      </c>
      <c r="M144" s="146">
        <f>L144/H144</f>
        <v>1</v>
      </c>
      <c r="N144" s="147"/>
      <c r="O144" s="148"/>
      <c r="P144" s="291"/>
      <c r="Q144" s="262"/>
    </row>
    <row r="145" spans="1:17" s="126" customFormat="1" ht="362.25">
      <c r="A145" s="125">
        <v>141</v>
      </c>
      <c r="B145" s="129"/>
      <c r="C145" s="130"/>
      <c r="D145" s="130"/>
      <c r="E145" s="130"/>
      <c r="F145" s="131" t="s">
        <v>2</v>
      </c>
      <c r="G145" s="132" t="s">
        <v>90</v>
      </c>
      <c r="H145" s="133"/>
      <c r="I145" s="150" t="s">
        <v>194</v>
      </c>
      <c r="J145" s="134" t="s">
        <v>5</v>
      </c>
      <c r="K145" s="151" t="s">
        <v>40</v>
      </c>
      <c r="L145" s="136">
        <f>IF(J145="Ya/Tidak",IF(K145="Ya",1,IF(K145="Tidak",0,"Blm Diisi")),IF(J145="A/B/C",IF(K145="A",1,IF(K145="B",0.5,IF(K145="C",0,"Blm Diisi"))),IF(J145="A/B/C/D",IF(K145="A",1,IF(K145="B",0.67,IF(K145="C",0.33,IF(K145="D",0,"Blm Diisi")))),IF(J145="A/B/C/D/E",IF(K145="A",1,IF(K145="B",0.75,IF(K145="C",0.5,IF(K145="D",0.25,IF(K145="E",0,"Blm Diisi"))))),IF(J145="%",IF(K145="","Blm Diisi",K145),IF(J145="Jumlah",IF(K145="","Blm Diisi",""),IF(J145="Rupiah",IF(K145="","Blm Diisi",""),IF(J145="","","-"))))))))</f>
        <v>1</v>
      </c>
      <c r="M145" s="137"/>
      <c r="N145" s="159"/>
      <c r="O145" s="139" t="s">
        <v>461</v>
      </c>
      <c r="P145" s="290"/>
      <c r="Q145" s="262"/>
    </row>
    <row r="146" spans="1:17" s="1" customFormat="1" ht="378">
      <c r="A146">
        <v>142</v>
      </c>
      <c r="B146" s="129"/>
      <c r="C146" s="130"/>
      <c r="D146" s="130"/>
      <c r="E146" s="130"/>
      <c r="F146" s="131" t="s">
        <v>4</v>
      </c>
      <c r="G146" s="132" t="s">
        <v>91</v>
      </c>
      <c r="H146" s="133"/>
      <c r="I146" s="150" t="s">
        <v>193</v>
      </c>
      <c r="J146" s="134" t="s">
        <v>5</v>
      </c>
      <c r="K146" s="151" t="s">
        <v>40</v>
      </c>
      <c r="L146" s="136">
        <f>IF(J146="Ya/Tidak",IF(K146="Ya",1,IF(K146="Tidak",0,"Blm Diisi")),IF(J146="A/B/C",IF(K146="A",1,IF(K146="B",0.5,IF(K146="C",0,"Blm Diisi"))),IF(J146="A/B/C/D",IF(K146="A",1,IF(K146="B",0.67,IF(K146="C",0.33,IF(K146="D",0,"Blm Diisi")))),IF(J146="A/B/C/D/E",IF(K146="A",1,IF(K146="B",0.75,IF(K146="C",0.5,IF(K146="D",0.25,IF(K146="E",0,"Blm Diisi"))))),IF(J146="%",IF(K146="","Blm Diisi",K146),IF(J146="Jumlah",IF(K146="","Blm Diisi",""),IF(J146="Rupiah",IF(K146="","Blm Diisi",""),IF(J146="","","-"))))))))</f>
        <v>1</v>
      </c>
      <c r="M146" s="137"/>
      <c r="N146" s="161"/>
      <c r="O146" s="139" t="s">
        <v>462</v>
      </c>
      <c r="P146" s="290"/>
      <c r="Q146" s="262"/>
    </row>
    <row r="147" spans="1:17" s="1" customFormat="1" ht="346.5">
      <c r="A147">
        <v>143</v>
      </c>
      <c r="B147" s="129"/>
      <c r="C147" s="130"/>
      <c r="D147" s="130"/>
      <c r="E147" s="130"/>
      <c r="F147" s="131" t="s">
        <v>6</v>
      </c>
      <c r="G147" s="132" t="s">
        <v>92</v>
      </c>
      <c r="H147" s="133"/>
      <c r="I147" s="150" t="s">
        <v>195</v>
      </c>
      <c r="J147" s="134" t="s">
        <v>5</v>
      </c>
      <c r="K147" s="151" t="s">
        <v>40</v>
      </c>
      <c r="L147" s="136">
        <f>IF(J147="Ya/Tidak",IF(K147="Ya",1,IF(K147="Tidak",0,"Blm Diisi")),IF(J147="A/B/C",IF(K147="A",1,IF(K147="B",0.5,IF(K147="C",0,"Blm Diisi"))),IF(J147="A/B/C/D",IF(K147="A",1,IF(K147="B",0.67,IF(K147="C",0.33,IF(K147="D",0,"Blm Diisi")))),IF(J147="A/B/C/D/E",IF(K147="A",1,IF(K147="B",0.75,IF(K147="C",0.5,IF(K147="D",0.25,IF(K147="E",0,"Blm Diisi"))))),IF(J147="%",IF(K147="","Blm Diisi",K147),IF(J147="Jumlah",IF(K147="","Blm Diisi",""),IF(J147="Rupiah",IF(K147="","Blm Diisi",""),IF(J147="","","-"))))))))</f>
        <v>1</v>
      </c>
      <c r="M147" s="137"/>
      <c r="N147" s="138"/>
      <c r="O147" s="139" t="s">
        <v>463</v>
      </c>
      <c r="P147" s="290"/>
      <c r="Q147" s="262"/>
    </row>
    <row r="148" spans="1:17" s="9" customFormat="1" ht="31.5">
      <c r="A148">
        <v>147</v>
      </c>
      <c r="B148" s="152"/>
      <c r="C148" s="153"/>
      <c r="D148" s="154" t="s">
        <v>113</v>
      </c>
      <c r="E148" s="315" t="s">
        <v>134</v>
      </c>
      <c r="F148" s="315"/>
      <c r="G148" s="315"/>
      <c r="H148" s="155">
        <v>5</v>
      </c>
      <c r="I148" s="156"/>
      <c r="J148" s="155"/>
      <c r="K148" s="155"/>
      <c r="L148" s="155">
        <f>SUM(L149,L151,L153)</f>
        <v>5</v>
      </c>
      <c r="M148" s="157">
        <f>L148/H148</f>
        <v>1</v>
      </c>
      <c r="N148" s="147"/>
      <c r="O148" s="158"/>
      <c r="P148" s="292"/>
      <c r="Q148" s="262"/>
    </row>
    <row r="149" spans="1:17" s="9" customFormat="1">
      <c r="A149">
        <v>148</v>
      </c>
      <c r="B149" s="142"/>
      <c r="C149" s="143"/>
      <c r="D149" s="143"/>
      <c r="E149" s="130" t="s">
        <v>111</v>
      </c>
      <c r="F149" s="315" t="s">
        <v>93</v>
      </c>
      <c r="G149" s="315"/>
      <c r="H149" s="144">
        <v>1.5</v>
      </c>
      <c r="I149" s="145"/>
      <c r="J149" s="144"/>
      <c r="K149" s="144"/>
      <c r="L149" s="144">
        <f>AVERAGE(L150)*H149</f>
        <v>1.5</v>
      </c>
      <c r="M149" s="146">
        <f>L149/H149</f>
        <v>1</v>
      </c>
      <c r="N149" s="147"/>
      <c r="O149" s="148"/>
      <c r="P149" s="291"/>
      <c r="Q149" s="262"/>
    </row>
    <row r="150" spans="1:17" s="1" customFormat="1" ht="94.5">
      <c r="A150">
        <v>149</v>
      </c>
      <c r="B150" s="129"/>
      <c r="C150" s="130"/>
      <c r="D150" s="130"/>
      <c r="E150" s="130"/>
      <c r="F150" s="149" t="s">
        <v>41</v>
      </c>
      <c r="G150" s="132" t="s">
        <v>296</v>
      </c>
      <c r="H150" s="133"/>
      <c r="I150" s="150" t="s">
        <v>297</v>
      </c>
      <c r="J150" s="134" t="s">
        <v>3</v>
      </c>
      <c r="K150" s="151" t="s">
        <v>40</v>
      </c>
      <c r="L150" s="136">
        <f>IF(J150="Ya/Tidak",IF(K150="Ya",1,IF(K150="Tidak",0,"Blm Diisi")),IF(J150="A/B/C",IF(K150="A",1,IF(K150="B",0.5,IF(K150="C",0,"Blm Diisi"))),IF(J150="A/B/C/D",IF(K150="A",1,IF(K150="B",0.67,IF(K150="C",0.33,IF(K150="D",0,"Blm Diisi")))),IF(J150="A/B/C/D/E",IF(K150="A",1,IF(K150="B",0.75,IF(K150="C",0.5,IF(K150="D",0.25,IF(K150="E",0,"Blm Diisi"))))),IF(J150="%",IF(K150="","Blm Diisi",K150),IF(J150="Jumlah",IF(K150="","Blm Diisi",""),IF(J150="Rupiah",IF(K150="","Blm Diisi",""),IF(J150="","","-"))))))))</f>
        <v>1</v>
      </c>
      <c r="M150" s="137"/>
      <c r="N150" s="138"/>
      <c r="O150" s="139" t="s">
        <v>464</v>
      </c>
      <c r="P150" s="290"/>
      <c r="Q150" s="262"/>
    </row>
    <row r="151" spans="1:17" s="9" customFormat="1">
      <c r="A151">
        <v>150</v>
      </c>
      <c r="B151" s="142"/>
      <c r="C151" s="143"/>
      <c r="D151" s="143"/>
      <c r="E151" s="130" t="s">
        <v>115</v>
      </c>
      <c r="F151" s="315" t="s">
        <v>121</v>
      </c>
      <c r="G151" s="315"/>
      <c r="H151" s="144">
        <v>1.5</v>
      </c>
      <c r="I151" s="145"/>
      <c r="J151" s="144"/>
      <c r="K151" s="144"/>
      <c r="L151" s="144">
        <f>AVERAGE(L152)*H151</f>
        <v>1.5</v>
      </c>
      <c r="M151" s="146">
        <f>L151/H151</f>
        <v>1</v>
      </c>
      <c r="N151" s="162"/>
      <c r="O151" s="148"/>
      <c r="P151" s="291"/>
      <c r="Q151" s="262"/>
    </row>
    <row r="152" spans="1:17" s="1" customFormat="1" ht="110.25">
      <c r="A152">
        <v>151</v>
      </c>
      <c r="B152" s="129"/>
      <c r="C152" s="130"/>
      <c r="D152" s="130"/>
      <c r="E152" s="130"/>
      <c r="F152" s="149" t="s">
        <v>41</v>
      </c>
      <c r="G152" s="132" t="s">
        <v>58</v>
      </c>
      <c r="H152" s="133"/>
      <c r="I152" s="150" t="s">
        <v>170</v>
      </c>
      <c r="J152" s="134" t="s">
        <v>3</v>
      </c>
      <c r="K152" s="151" t="s">
        <v>40</v>
      </c>
      <c r="L152" s="136">
        <f>IF(J152="Ya/Tidak",IF(K152="Ya",1,IF(K152="Tidak",0,"Blm Diisi")),IF(J152="A/B/C",IF(K152="A",1,IF(K152="B",0.5,IF(K152="C",0,"Blm Diisi"))),IF(J152="A/B/C/D",IF(K152="A",1,IF(K152="B",0.67,IF(K152="C",0.33,IF(K152="D",0,"Blm Diisi")))),IF(J152="A/B/C/D/E",IF(K152="A",1,IF(K152="B",0.75,IF(K152="C",0.5,IF(K152="D",0.25,IF(K152="E",0,"Blm Diisi"))))),IF(J152="%",IF(K152="","Blm Diisi",K152),IF(J152="Jumlah",IF(K152="","Blm Diisi",""),IF(J152="Rupiah",IF(K152="","Blm Diisi",""),IF(J152="","","-"))))))))</f>
        <v>1</v>
      </c>
      <c r="M152" s="137"/>
      <c r="N152" s="161"/>
      <c r="O152" s="139" t="s">
        <v>465</v>
      </c>
      <c r="P152" s="290"/>
      <c r="Q152" s="262"/>
    </row>
    <row r="153" spans="1:17" s="9" customFormat="1">
      <c r="A153">
        <v>152</v>
      </c>
      <c r="B153" s="142"/>
      <c r="C153" s="143"/>
      <c r="D153" s="143"/>
      <c r="E153" s="130" t="s">
        <v>116</v>
      </c>
      <c r="F153" s="315" t="s">
        <v>94</v>
      </c>
      <c r="G153" s="315"/>
      <c r="H153" s="144">
        <v>2</v>
      </c>
      <c r="I153" s="145"/>
      <c r="J153" s="144"/>
      <c r="K153" s="144"/>
      <c r="L153" s="144">
        <f>AVERAGE(L154:L157)*H153</f>
        <v>2</v>
      </c>
      <c r="M153" s="146">
        <f>L153/H153</f>
        <v>1</v>
      </c>
      <c r="N153" s="147"/>
      <c r="O153" s="148"/>
      <c r="P153" s="291"/>
      <c r="Q153" s="262"/>
    </row>
    <row r="154" spans="1:17" s="1" customFormat="1" ht="78.75">
      <c r="A154">
        <v>153</v>
      </c>
      <c r="B154" s="129"/>
      <c r="C154" s="130"/>
      <c r="D154" s="130"/>
      <c r="E154" s="130"/>
      <c r="F154" s="149" t="s">
        <v>41</v>
      </c>
      <c r="G154" s="132" t="s">
        <v>47</v>
      </c>
      <c r="H154" s="133"/>
      <c r="I154" s="132" t="s">
        <v>54</v>
      </c>
      <c r="J154" s="134" t="s">
        <v>29</v>
      </c>
      <c r="K154" s="135">
        <f>IF(OR(K155="",K156="",K157=""),"Blm Diisi",IF(AND(K155=0,K156=0),1,IF((K155-K156)/K155&lt;0,0,(K155-K156)/K155)))</f>
        <v>1</v>
      </c>
      <c r="L154" s="136">
        <f>IF(J154="Ya/Tidak",IF(K154="Ya",1,IF(K154="Tidak",0,"Blm Diisi")),IF(J154="A/B/C",IF(K154="A",1,IF(K154="B",0.5,IF(K154="C",0,"Blm Diisi"))),IF(J154="A/B/C/D",IF(K154="A",1,IF(K154="B",0.67,IF(K154="C",0.33,IF(K154="D",0,"Blm Diisi")))),IF(J154="A/B/C/D/E",IF(K154="A",1,IF(K154="B",0.75,IF(K154="C",0.5,IF(K154="D",0.25,IF(K154="E",0,"Blm Diisi"))))),IF(J154="%",IF(K154="","Blm Diisi",K154),IF(J154="Jumlah",IF(K154="","Blm Diisi",""),IF(J154="Rupiah",IF(K154="","Blm Diisi",""),IF(J154="","","-"))))))))</f>
        <v>1</v>
      </c>
      <c r="M154" s="137"/>
      <c r="N154" s="138"/>
      <c r="O154" s="163"/>
      <c r="P154" s="293"/>
      <c r="Q154" s="262"/>
    </row>
    <row r="155" spans="1:17" s="1" customFormat="1">
      <c r="A155">
        <v>154</v>
      </c>
      <c r="B155" s="129"/>
      <c r="C155" s="130"/>
      <c r="D155" s="130"/>
      <c r="E155" s="130"/>
      <c r="F155" s="149"/>
      <c r="G155" s="140" t="s">
        <v>122</v>
      </c>
      <c r="H155" s="133"/>
      <c r="I155" s="132"/>
      <c r="J155" s="134" t="s">
        <v>30</v>
      </c>
      <c r="K155" s="141">
        <v>0</v>
      </c>
      <c r="L155" s="136" t="str">
        <f>IF(J155="Ya/Tidak",IF(K155="Ya",1,IF(K155="Tidak",0,"Blm Diisi")),IF(J155="A/B/C",IF(K155="A",1,IF(K155="B",0.5,IF(K155="C",0,"Blm Diisi"))),IF(J155="A/B/C/D",IF(K155="A",1,IF(K155="B",0.67,IF(K155="C",0.33,IF(K155="D",0,"Blm Diisi")))),IF(J155="A/B/C/D/E",IF(K155="A",1,IF(K155="B",0.75,IF(K155="C",0.5,IF(K155="D",0.25,IF(K155="E",0,"Blm Diisi"))))),IF(J155="%",IF(K155="","Blm Diisi",K155),IF(J155="Jumlah",IF(K155="","Blm Diisi",""),IF(J155="Rupiah",IF(K155="","Blm Diisi",""),IF(J155="","","-"))))))))</f>
        <v/>
      </c>
      <c r="M155" s="137"/>
      <c r="N155" s="138"/>
      <c r="O155" s="139" t="s">
        <v>466</v>
      </c>
      <c r="P155" s="290"/>
      <c r="Q155" s="262"/>
    </row>
    <row r="156" spans="1:17" s="1" customFormat="1">
      <c r="A156">
        <v>155</v>
      </c>
      <c r="B156" s="129"/>
      <c r="C156" s="130"/>
      <c r="D156" s="130"/>
      <c r="E156" s="130"/>
      <c r="F156" s="149"/>
      <c r="G156" s="140" t="s">
        <v>123</v>
      </c>
      <c r="H156" s="133"/>
      <c r="I156" s="132"/>
      <c r="J156" s="134" t="s">
        <v>30</v>
      </c>
      <c r="K156" s="141">
        <v>0</v>
      </c>
      <c r="L156" s="136" t="str">
        <f>IF(J156="Ya/Tidak",IF(K156="Ya",1,IF(K156="Tidak",0,"Blm Diisi")),IF(J156="A/B/C",IF(K156="A",1,IF(K156="B",0.5,IF(K156="C",0,"Blm Diisi"))),IF(J156="A/B/C/D",IF(K156="A",1,IF(K156="B",0.67,IF(K156="C",0.33,IF(K156="D",0,"Blm Diisi")))),IF(J156="A/B/C/D/E",IF(K156="A",1,IF(K156="B",0.75,IF(K156="C",0.5,IF(K156="D",0.25,IF(K156="E",0,"Blm Diisi"))))),IF(J156="%",IF(K156="","Blm Diisi",K156),IF(J156="Jumlah",IF(K156="","Blm Diisi",""),IF(J156="Rupiah",IF(K156="","Blm Diisi",""),IF(J156="","","-"))))))))</f>
        <v/>
      </c>
      <c r="M156" s="137"/>
      <c r="N156" s="138"/>
      <c r="O156" s="139" t="s">
        <v>466</v>
      </c>
      <c r="P156" s="290"/>
      <c r="Q156" s="262"/>
    </row>
    <row r="157" spans="1:17" s="1" customFormat="1" ht="31.5">
      <c r="A157">
        <v>156</v>
      </c>
      <c r="B157" s="129"/>
      <c r="C157" s="130"/>
      <c r="D157" s="130"/>
      <c r="E157" s="130"/>
      <c r="F157" s="149"/>
      <c r="G157" s="140" t="s">
        <v>124</v>
      </c>
      <c r="H157" s="133"/>
      <c r="I157" s="132"/>
      <c r="J157" s="134" t="s">
        <v>30</v>
      </c>
      <c r="K157" s="141">
        <v>0</v>
      </c>
      <c r="L157" s="136" t="str">
        <f>IF(J157="Ya/Tidak",IF(K157="Ya",1,IF(K157="Tidak",0,"Blm Diisi")),IF(J157="A/B/C",IF(K157="A",1,IF(K157="B",0.5,IF(K157="C",0,"Blm Diisi"))),IF(J157="A/B/C/D",IF(K157="A",1,IF(K157="B",0.67,IF(K157="C",0.33,IF(K157="D",0,"Blm Diisi")))),IF(J157="A/B/C/D/E",IF(K157="A",1,IF(K157="B",0.75,IF(K157="C",0.5,IF(K157="D",0.25,IF(K157="E",0,"Blm Diisi"))))),IF(J157="%",IF(K157="","Blm Diisi",K157),IF(J157="Jumlah",IF(K157="","Blm Diisi",""),IF(J157="Rupiah",IF(K157="","Blm Diisi",""),IF(J157="","","-"))))))))</f>
        <v/>
      </c>
      <c r="M157" s="137"/>
      <c r="N157" s="138"/>
      <c r="O157" s="139" t="s">
        <v>467</v>
      </c>
      <c r="P157" s="290"/>
      <c r="Q157" s="262"/>
    </row>
    <row r="158" spans="1:17" s="9" customFormat="1" ht="31.5">
      <c r="A158">
        <v>157</v>
      </c>
      <c r="B158" s="152"/>
      <c r="C158" s="153"/>
      <c r="D158" s="154" t="s">
        <v>114</v>
      </c>
      <c r="E158" s="315" t="s">
        <v>48</v>
      </c>
      <c r="F158" s="315"/>
      <c r="G158" s="315"/>
      <c r="H158" s="155">
        <v>5</v>
      </c>
      <c r="I158" s="156"/>
      <c r="J158" s="155"/>
      <c r="K158" s="155"/>
      <c r="L158" s="155">
        <f>SUM(L159,L163,L165)</f>
        <v>4.2</v>
      </c>
      <c r="M158" s="157"/>
      <c r="N158" s="147"/>
      <c r="O158" s="158"/>
      <c r="P158" s="292"/>
      <c r="Q158" s="262"/>
    </row>
    <row r="159" spans="1:17" s="9" customFormat="1">
      <c r="A159">
        <v>173</v>
      </c>
      <c r="B159" s="142"/>
      <c r="C159" s="143"/>
      <c r="D159" s="143"/>
      <c r="E159" s="130" t="s">
        <v>111</v>
      </c>
      <c r="F159" s="315" t="s">
        <v>136</v>
      </c>
      <c r="G159" s="315"/>
      <c r="H159" s="144">
        <v>2</v>
      </c>
      <c r="I159" s="145"/>
      <c r="J159" s="144"/>
      <c r="K159" s="144"/>
      <c r="L159" s="144">
        <f>AVERAGE(L160:L162)*H159</f>
        <v>1.2</v>
      </c>
      <c r="M159" s="146">
        <f>L159/H159</f>
        <v>0.6</v>
      </c>
      <c r="N159" s="147"/>
      <c r="O159" s="148"/>
      <c r="P159" s="291"/>
      <c r="Q159" s="262"/>
    </row>
    <row r="160" spans="1:17" s="1" customFormat="1" ht="47.25">
      <c r="A160">
        <v>174</v>
      </c>
      <c r="B160" s="129"/>
      <c r="C160" s="130"/>
      <c r="D160" s="130"/>
      <c r="E160" s="130"/>
      <c r="F160" s="149" t="s">
        <v>120</v>
      </c>
      <c r="G160" s="140" t="s">
        <v>96</v>
      </c>
      <c r="H160" s="133"/>
      <c r="I160" s="132" t="s">
        <v>55</v>
      </c>
      <c r="J160" s="134" t="s">
        <v>29</v>
      </c>
      <c r="K160" s="135">
        <f>IF(OR(K161="",K162=""),"Blm Diisi",IF(K162/K161&gt;1,1,K162/K161))</f>
        <v>0.6</v>
      </c>
      <c r="L160" s="136">
        <f>IF(J160="Ya/Tidak",IF(K160="Ya",1,IF(K160="Tidak",0,"Blm Diisi")),IF(J160="A/B/C",IF(K160="A",1,IF(K160="B",0.5,IF(K160="C",0,"Blm Diisi"))),IF(J160="A/B/C/D",IF(K160="A",1,IF(K160="B",0.67,IF(K160="C",0.33,IF(K160="D",0,"Blm Diisi")))),IF(J160="A/B/C/D/E",IF(K160="A",1,IF(K160="B",0.75,IF(K160="C",0.5,IF(K160="D",0.25,IF(K160="E",0,"Blm Diisi"))))),IF(J160="%",IF(K160="","Blm Diisi",K160),IF(J160="Jumlah",IF(K160="","Blm Diisi",""),IF(J160="Rupiah",IF(K160="","Blm Diisi",""),IF(J160="","","-"))))))))</f>
        <v>0.6</v>
      </c>
      <c r="M160" s="137"/>
      <c r="N160" s="138"/>
      <c r="O160" s="139"/>
      <c r="P160" s="290"/>
      <c r="Q160" s="262"/>
    </row>
    <row r="161" spans="1:17" s="1" customFormat="1" ht="78.75">
      <c r="A161">
        <v>175</v>
      </c>
      <c r="B161" s="129"/>
      <c r="C161" s="130"/>
      <c r="D161" s="130"/>
      <c r="E161" s="130"/>
      <c r="F161" s="164"/>
      <c r="G161" s="140" t="s">
        <v>125</v>
      </c>
      <c r="H161" s="133"/>
      <c r="I161" s="132"/>
      <c r="J161" s="134" t="s">
        <v>30</v>
      </c>
      <c r="K161" s="141">
        <v>5</v>
      </c>
      <c r="L161" s="136" t="str">
        <f>IF(J161="Ya/Tidak",IF(K161="Ya",1,IF(K161="Tidak",0,"Blm Diisi")),IF(J161="A/B/C",IF(K161="A",1,IF(K161="B",0.5,IF(K161="C",0,"Blm Diisi"))),IF(J161="A/B/C/D",IF(K161="A",1,IF(K161="B",0.67,IF(K161="C",0.33,IF(K161="D",0,"Blm Diisi")))),IF(J161="A/B/C/D/E",IF(K161="A",1,IF(K161="B",0.75,IF(K161="C",0.5,IF(K161="D",0.25,IF(K161="E",0,"Blm Diisi"))))),IF(J161="%",IF(K161="","Blm Diisi",K161),IF(J161="Jumlah",IF(K161="","Blm Diisi",""),IF(J161="Rupiah",IF(K161="","Blm Diisi",""),IF(J161="","","-"))))))))</f>
        <v/>
      </c>
      <c r="M161" s="137"/>
      <c r="N161" s="138"/>
      <c r="O161" s="139" t="s">
        <v>419</v>
      </c>
      <c r="P161" s="290"/>
      <c r="Q161" s="262"/>
    </row>
    <row r="162" spans="1:17" s="1" customFormat="1" ht="47.25">
      <c r="A162">
        <v>176</v>
      </c>
      <c r="B162" s="129"/>
      <c r="C162" s="130"/>
      <c r="D162" s="130"/>
      <c r="E162" s="130"/>
      <c r="F162" s="164"/>
      <c r="G162" s="140" t="s">
        <v>126</v>
      </c>
      <c r="H162" s="133"/>
      <c r="I162" s="132"/>
      <c r="J162" s="134" t="s">
        <v>30</v>
      </c>
      <c r="K162" s="141">
        <v>3</v>
      </c>
      <c r="L162" s="136" t="str">
        <f>IF(J162="Ya/Tidak",IF(K162="Ya",1,IF(K162="Tidak",0,"Blm Diisi")),IF(J162="A/B/C",IF(K162="A",1,IF(K162="B",0.5,IF(K162="C",0,"Blm Diisi"))),IF(J162="A/B/C/D",IF(K162="A",1,IF(K162="B",0.67,IF(K162="C",0.33,IF(K162="D",0,"Blm Diisi")))),IF(J162="A/B/C/D/E",IF(K162="A",1,IF(K162="B",0.75,IF(K162="C",0.5,IF(K162="D",0.25,IF(K162="E",0,"Blm Diisi"))))),IF(J162="%",IF(K162="","Blm Diisi",K162),IF(J162="Jumlah",IF(K162="","Blm Diisi",""),IF(J162="Rupiah",IF(K162="","Blm Diisi",""),IF(J162="","","-"))))))))</f>
        <v/>
      </c>
      <c r="M162" s="137"/>
      <c r="N162" s="138"/>
      <c r="O162" s="139" t="s">
        <v>420</v>
      </c>
      <c r="P162" s="290"/>
      <c r="Q162" s="262"/>
    </row>
    <row r="163" spans="1:17" s="9" customFormat="1">
      <c r="A163">
        <v>177</v>
      </c>
      <c r="B163" s="142"/>
      <c r="C163" s="143"/>
      <c r="D163" s="143"/>
      <c r="E163" s="130" t="s">
        <v>115</v>
      </c>
      <c r="F163" s="315" t="s">
        <v>298</v>
      </c>
      <c r="G163" s="315"/>
      <c r="H163" s="144">
        <v>1.5</v>
      </c>
      <c r="I163" s="145"/>
      <c r="J163" s="144"/>
      <c r="K163" s="144"/>
      <c r="L163" s="144">
        <f>AVERAGE(L164)*H163</f>
        <v>1.5</v>
      </c>
      <c r="M163" s="146">
        <f>L163/H163</f>
        <v>1</v>
      </c>
      <c r="N163" s="147"/>
      <c r="O163" s="148"/>
      <c r="P163" s="291"/>
      <c r="Q163" s="262"/>
    </row>
    <row r="164" spans="1:17" s="126" customFormat="1" ht="189">
      <c r="A164" s="125">
        <v>178</v>
      </c>
      <c r="B164" s="129"/>
      <c r="C164" s="130"/>
      <c r="D164" s="130"/>
      <c r="E164" s="130"/>
      <c r="F164" s="149" t="s">
        <v>120</v>
      </c>
      <c r="G164" s="140" t="s">
        <v>95</v>
      </c>
      <c r="H164" s="133"/>
      <c r="I164" s="150" t="s">
        <v>142</v>
      </c>
      <c r="J164" s="134" t="s">
        <v>9</v>
      </c>
      <c r="K164" s="151" t="s">
        <v>40</v>
      </c>
      <c r="L164" s="136">
        <f>IF(J164="Ya/Tidak",IF(K164="Ya",1,IF(K164="Tidak",0,"Blm Diisi")),IF(J164="A/B/C",IF(K164="A",1,IF(K164="B",0.5,IF(K164="C",0,"Blm Diisi"))),IF(J164="A/B/C/D",IF(K164="A",1,IF(K164="B",0.67,IF(K164="C",0.33,IF(K164="D",0,"Blm Diisi")))),IF(J164="A/B/C/D/E",IF(K164="A",1,IF(K164="B",0.75,IF(K164="C",0.5,IF(K164="D",0.25,IF(K164="E",0,"Blm Diisi"))))),IF(J164="%",IF(K164="","Blm Diisi",K164),IF(J164="Jumlah",IF(K164="","Blm Diisi",""),IF(J164="Rupiah",IF(K164="","Blm Diisi",""),IF(J164="","","-"))))))))</f>
        <v>1</v>
      </c>
      <c r="M164" s="137"/>
      <c r="N164" s="138"/>
      <c r="O164" s="139" t="s">
        <v>468</v>
      </c>
      <c r="P164" s="290"/>
      <c r="Q164" s="262"/>
    </row>
    <row r="165" spans="1:17" s="9" customFormat="1">
      <c r="A165">
        <v>179</v>
      </c>
      <c r="B165" s="142"/>
      <c r="C165" s="143"/>
      <c r="D165" s="143"/>
      <c r="E165" s="130" t="s">
        <v>116</v>
      </c>
      <c r="F165" s="315" t="s">
        <v>97</v>
      </c>
      <c r="G165" s="315"/>
      <c r="H165" s="144">
        <v>1.5</v>
      </c>
      <c r="I165" s="145"/>
      <c r="J165" s="144"/>
      <c r="K165" s="144"/>
      <c r="L165" s="144">
        <f>AVERAGE(L166)*H165</f>
        <v>1.5</v>
      </c>
      <c r="M165" s="146">
        <f>L165/H165</f>
        <v>1</v>
      </c>
      <c r="N165" s="147"/>
      <c r="O165" s="148"/>
      <c r="P165" s="291"/>
      <c r="Q165" s="262"/>
    </row>
    <row r="166" spans="1:17" s="1" customFormat="1" ht="189">
      <c r="A166">
        <v>180</v>
      </c>
      <c r="B166" s="129"/>
      <c r="C166" s="130"/>
      <c r="D166" s="130"/>
      <c r="E166" s="130"/>
      <c r="F166" s="149" t="s">
        <v>120</v>
      </c>
      <c r="G166" s="140" t="s">
        <v>338</v>
      </c>
      <c r="H166" s="133"/>
      <c r="I166" s="150" t="s">
        <v>337</v>
      </c>
      <c r="J166" s="134" t="s">
        <v>9</v>
      </c>
      <c r="K166" s="151" t="s">
        <v>40</v>
      </c>
      <c r="L166" s="136">
        <f>IF(J166="Ya/Tidak",IF(K166="Ya",1,IF(K166="Tidak",0,"Blm Diisi")),IF(J166="A/B/C",IF(K166="A",1,IF(K166="B",0.5,IF(K166="C",0,"Blm Diisi"))),IF(J166="A/B/C/D",IF(K166="A",1,IF(K166="B",0.67,IF(K166="C",0.33,IF(K166="D",0,"Blm Diisi")))),IF(J166="A/B/C/D/E",IF(K166="A",1,IF(K166="B",0.75,IF(K166="C",0.5,IF(K166="D",0.25,IF(K166="E",0,"Blm Diisi"))))),IF(J166="%",IF(K166="","Blm Diisi",K166),IF(J166="Jumlah",IF(K166="","Blm Diisi",""),IF(J166="Rupiah",IF(K166="","Blm Diisi",""),IF(J166="","","-"))))))))</f>
        <v>1</v>
      </c>
      <c r="M166" s="137"/>
      <c r="N166" s="138"/>
      <c r="O166" s="139" t="s">
        <v>469</v>
      </c>
      <c r="P166" s="290"/>
      <c r="Q166" s="262"/>
    </row>
    <row r="167" spans="1:17" s="9" customFormat="1" ht="31.5">
      <c r="A167">
        <v>182</v>
      </c>
      <c r="B167" s="152"/>
      <c r="C167" s="153"/>
      <c r="D167" s="154" t="s">
        <v>17</v>
      </c>
      <c r="E167" s="315" t="s">
        <v>49</v>
      </c>
      <c r="F167" s="315"/>
      <c r="G167" s="315"/>
      <c r="H167" s="155">
        <v>7.5</v>
      </c>
      <c r="I167" s="156"/>
      <c r="J167" s="155"/>
      <c r="K167" s="155"/>
      <c r="L167" s="155">
        <f>SUM(L168,L170,L175)</f>
        <v>4.7333333333333334</v>
      </c>
      <c r="M167" s="157">
        <f>L167/H167</f>
        <v>0.63111111111111107</v>
      </c>
      <c r="N167" s="147"/>
      <c r="O167" s="158"/>
      <c r="P167" s="292"/>
      <c r="Q167" s="262"/>
    </row>
    <row r="168" spans="1:17" s="9" customFormat="1">
      <c r="A168">
        <v>184</v>
      </c>
      <c r="B168" s="142"/>
      <c r="C168" s="143"/>
      <c r="D168" s="143"/>
      <c r="E168" s="143" t="s">
        <v>111</v>
      </c>
      <c r="F168" s="315" t="s">
        <v>326</v>
      </c>
      <c r="G168" s="315"/>
      <c r="H168" s="144">
        <v>2.5</v>
      </c>
      <c r="I168" s="165"/>
      <c r="J168" s="144"/>
      <c r="K168" s="144"/>
      <c r="L168" s="144">
        <f>AVERAGE(L169:L169)*H168</f>
        <v>2.5</v>
      </c>
      <c r="M168" s="146">
        <f>L168/H168</f>
        <v>1</v>
      </c>
      <c r="N168" s="162"/>
      <c r="O168" s="148"/>
      <c r="P168" s="291"/>
      <c r="Q168" s="262"/>
    </row>
    <row r="169" spans="1:17" s="9" customFormat="1" ht="330.75">
      <c r="A169"/>
      <c r="B169" s="132"/>
      <c r="C169" s="166"/>
      <c r="D169" s="166"/>
      <c r="E169" s="166"/>
      <c r="F169" s="167" t="s">
        <v>120</v>
      </c>
      <c r="G169" s="150" t="s">
        <v>327</v>
      </c>
      <c r="H169" s="133"/>
      <c r="I169" s="165" t="s">
        <v>328</v>
      </c>
      <c r="J169" s="134" t="s">
        <v>5</v>
      </c>
      <c r="K169" s="135" t="s">
        <v>40</v>
      </c>
      <c r="L169" s="136">
        <f>IF(J169="Ya/Tidak",IF(K169="Ya",1,IF(K169="Tidak",0,"Blm Diisi")),IF(J169="A/B/C",IF(K169="A",1,IF(K169="B",0.5,IF(K169="C",0,"Blm Diisi"))),IF(J169="A/B/C/D",IF(K169="A",1,IF(K169="B",0.67,IF(K169="C",0.33,IF(K169="D",0,"Blm Diisi")))),IF(J169="A/B/C/D/E",IF(K169="A",1,IF(K169="B",0.75,IF(K169="C",0.5,IF(K169="D",0.25,IF(K169="E",0,"Blm Diisi"))))),IF(J169="%",IF(K169="","Blm Diisi",K169),IF(J169="Jumlah",IF(K169="","Blm Diisi",""),IF(J169="Rupiah",IF(K169="","Blm Diisi",""),IF(J169="","","-"))))))))</f>
        <v>1</v>
      </c>
      <c r="M169" s="168"/>
      <c r="N169" s="160"/>
      <c r="O169" s="139" t="s">
        <v>437</v>
      </c>
      <c r="P169" s="290"/>
      <c r="Q169" s="262"/>
    </row>
    <row r="170" spans="1:17" s="9" customFormat="1">
      <c r="A170">
        <v>197</v>
      </c>
      <c r="B170" s="142"/>
      <c r="C170" s="143"/>
      <c r="D170" s="143"/>
      <c r="E170" s="143" t="s">
        <v>115</v>
      </c>
      <c r="F170" s="315" t="s">
        <v>28</v>
      </c>
      <c r="G170" s="315"/>
      <c r="H170" s="144">
        <v>3</v>
      </c>
      <c r="I170" s="165"/>
      <c r="J170" s="144" t="s">
        <v>29</v>
      </c>
      <c r="K170" s="144"/>
      <c r="L170" s="144">
        <f>AVERAGE(L171:L174)*H170</f>
        <v>0.5</v>
      </c>
      <c r="M170" s="146">
        <f>L170/H170</f>
        <v>0.16666666666666666</v>
      </c>
      <c r="N170" s="147"/>
      <c r="O170" s="148"/>
      <c r="P170" s="291"/>
      <c r="Q170" s="262"/>
    </row>
    <row r="171" spans="1:17" s="9" customFormat="1" ht="31.5">
      <c r="A171"/>
      <c r="B171" s="132"/>
      <c r="C171" s="166"/>
      <c r="D171" s="166"/>
      <c r="E171" s="166"/>
      <c r="F171" s="167" t="s">
        <v>120</v>
      </c>
      <c r="G171" s="150" t="s">
        <v>137</v>
      </c>
      <c r="H171" s="133"/>
      <c r="I171" s="165" t="s">
        <v>56</v>
      </c>
      <c r="J171" s="133" t="s">
        <v>29</v>
      </c>
      <c r="K171" s="255">
        <f>IF(OR(K172="",K174="",K173=""),"Blm Diisi",IF(K174/K172&gt;1,1,K174/K172))</f>
        <v>0.16666666666666666</v>
      </c>
      <c r="L171" s="136">
        <f>IF(J171="Ya/Tidak",IF(K171="Ya",1,IF(K171="Tidak",0,"Blm Diisi")),IF(J171="A/B/C",IF(K171="A",1,IF(K171="B",0.5,IF(K171="C",0,"Blm Diisi"))),IF(J171="A/B/C/D",IF(K171="A",1,IF(K171="B",0.67,IF(K171="C",0.33,IF(K171="D",0,"Blm Diisi")))),IF(J171="A/B/C/D/E",IF(K171="A",1,IF(K171="B",0.75,IF(K171="C",0.5,IF(K171="D",0.25,IF(K171="E",0,"Blm Diisi"))))),IF(J171="%",IF(K171="","Blm Diisi",K171),IF(J171="Jumlah",IF(K171="","Blm Diisi",""),IF(J171="Rupiah",IF(K171="","Blm Diisi",""),IF(J171="","","-"))))))))</f>
        <v>0.16666666666666666</v>
      </c>
      <c r="M171" s="168"/>
      <c r="N171" s="147"/>
      <c r="O171" s="163"/>
      <c r="P171" s="293"/>
      <c r="Q171" s="262"/>
    </row>
    <row r="172" spans="1:17" s="1" customFormat="1" ht="31.5">
      <c r="A172">
        <v>199</v>
      </c>
      <c r="B172" s="129"/>
      <c r="C172" s="130"/>
      <c r="D172" s="130"/>
      <c r="E172" s="130"/>
      <c r="F172" s="149"/>
      <c r="G172" s="140" t="s">
        <v>99</v>
      </c>
      <c r="H172" s="133"/>
      <c r="I172" s="132"/>
      <c r="J172" s="134" t="s">
        <v>30</v>
      </c>
      <c r="K172" s="256">
        <v>6</v>
      </c>
      <c r="L172" s="136" t="str">
        <f t="shared" ref="L172:L174" si="7">IF(J172="Ya/Tidak",IF(K172="Ya",1,IF(K172="Tidak",0,"Blm Diisi")),IF(J172="A/B/C",IF(K172="A",1,IF(K172="B",0.5,IF(K172="C",0,"Blm Diisi"))),IF(J172="A/B/C/D",IF(K172="A",1,IF(K172="B",0.67,IF(K172="C",0.33,IF(K172="D",0,"Blm Diisi")))),IF(J172="A/B/C/D/E",IF(K172="A",1,IF(K172="B",0.75,IF(K172="C",0.5,IF(K172="D",0.25,IF(K172="E",0,"Blm Diisi"))))),IF(J172="%",IF(K172="","Blm Diisi",K172),IF(J172="Jumlah",IF(K172="","Blm Diisi",""),IF(J172="Rupiah",IF(K172="","Blm Diisi",""),IF(J172="","","-"))))))))</f>
        <v/>
      </c>
      <c r="M172" s="137"/>
      <c r="N172" s="138"/>
      <c r="O172" s="139" t="s">
        <v>438</v>
      </c>
      <c r="P172" s="290"/>
      <c r="Q172" s="262"/>
    </row>
    <row r="173" spans="1:17" s="1" customFormat="1" ht="31.5">
      <c r="A173">
        <v>200</v>
      </c>
      <c r="B173" s="129"/>
      <c r="C173" s="130"/>
      <c r="D173" s="130"/>
      <c r="E173" s="130"/>
      <c r="F173" s="149"/>
      <c r="G173" s="140" t="s">
        <v>100</v>
      </c>
      <c r="H173" s="133"/>
      <c r="I173" s="132"/>
      <c r="J173" s="134" t="s">
        <v>30</v>
      </c>
      <c r="K173" s="256">
        <v>1</v>
      </c>
      <c r="L173" s="136" t="str">
        <f t="shared" si="7"/>
        <v/>
      </c>
      <c r="M173" s="137"/>
      <c r="N173" s="138"/>
      <c r="O173" s="139" t="s">
        <v>439</v>
      </c>
      <c r="P173" s="290"/>
      <c r="Q173" s="262"/>
    </row>
    <row r="174" spans="1:17" s="1" customFormat="1" ht="31.5">
      <c r="A174">
        <v>201</v>
      </c>
      <c r="B174" s="129"/>
      <c r="C174" s="130"/>
      <c r="D174" s="130"/>
      <c r="E174" s="130"/>
      <c r="F174" s="149"/>
      <c r="G174" s="140" t="s">
        <v>101</v>
      </c>
      <c r="H174" s="133"/>
      <c r="I174" s="132"/>
      <c r="J174" s="134" t="s">
        <v>30</v>
      </c>
      <c r="K174" s="256">
        <v>1</v>
      </c>
      <c r="L174" s="136" t="str">
        <f t="shared" si="7"/>
        <v/>
      </c>
      <c r="M174" s="137"/>
      <c r="N174" s="138"/>
      <c r="O174" s="139" t="s">
        <v>439</v>
      </c>
      <c r="P174" s="290"/>
      <c r="Q174" s="262"/>
    </row>
    <row r="175" spans="1:17" s="9" customFormat="1" ht="31.5">
      <c r="A175">
        <v>197</v>
      </c>
      <c r="B175" s="142"/>
      <c r="C175" s="143"/>
      <c r="D175" s="143"/>
      <c r="E175" s="143" t="s">
        <v>116</v>
      </c>
      <c r="F175" s="315" t="s">
        <v>355</v>
      </c>
      <c r="G175" s="315"/>
      <c r="H175" s="144">
        <v>2</v>
      </c>
      <c r="I175" s="165"/>
      <c r="J175" s="144" t="s">
        <v>29</v>
      </c>
      <c r="K175" s="257"/>
      <c r="L175" s="144">
        <f>AVERAGE(L176:L179)*H175</f>
        <v>1.7333333333333334</v>
      </c>
      <c r="M175" s="146">
        <f>L175/H175</f>
        <v>0.8666666666666667</v>
      </c>
      <c r="N175" s="147"/>
      <c r="O175" s="169"/>
      <c r="P175" s="291"/>
      <c r="Q175" s="262"/>
    </row>
    <row r="176" spans="1:17" s="128" customFormat="1" ht="38.1" customHeight="1">
      <c r="A176" s="128">
        <v>359</v>
      </c>
      <c r="B176" s="170"/>
      <c r="C176" s="171"/>
      <c r="D176" s="171"/>
      <c r="E176" s="171" t="s">
        <v>111</v>
      </c>
      <c r="F176" s="318" t="s">
        <v>341</v>
      </c>
      <c r="G176" s="319"/>
      <c r="H176" s="172">
        <v>1</v>
      </c>
      <c r="I176" s="173"/>
      <c r="J176" s="172"/>
      <c r="K176" s="172"/>
      <c r="L176" s="172">
        <f>AVERAGE(L177:L182)*H176</f>
        <v>0.8666666666666667</v>
      </c>
      <c r="M176" s="172"/>
      <c r="N176" s="174"/>
      <c r="O176" s="175"/>
      <c r="P176" s="294"/>
      <c r="Q176" s="176"/>
    </row>
    <row r="177" spans="1:17" s="82" customFormat="1" ht="141.75">
      <c r="A177" s="82">
        <v>360</v>
      </c>
      <c r="B177" s="177"/>
      <c r="C177" s="178"/>
      <c r="D177" s="178"/>
      <c r="E177" s="178"/>
      <c r="F177" s="179" t="s">
        <v>120</v>
      </c>
      <c r="G177" s="180" t="s">
        <v>342</v>
      </c>
      <c r="H177" s="181"/>
      <c r="I177" s="182" t="s">
        <v>343</v>
      </c>
      <c r="J177" s="181" t="s">
        <v>29</v>
      </c>
      <c r="K177" s="183">
        <f>IF(OR(K178="",K182=""),"Blm Diisi",IF(K182/K178&gt;1,1,K182/K178))</f>
        <v>0.8666666666666667</v>
      </c>
      <c r="L177" s="172">
        <f t="shared" ref="L177" si="8">IF(J177="Ya/Tidak",IF(K177="Ya",1,IF(K177="Tidak",0,"Blm Diisi")),IF(J177="A/B/C",IF(K177="A",1,IF(K177="B",0.5,IF(K177="C",0,"Blm Diisi"))),IF(J177="A/B/C/D",IF(K177="A",1,IF(K177="B",0.67,IF(K177="C",0.33,IF(K177="D",0,"Blm Diisi")))),IF(J177="A/B/C/D/E",IF(K177="A",1,IF(K177="B",0.75,IF(K177="C",0.5,IF(K177="D",0.25,IF(K177="E",0,"Blm Diisi"))))),IF(J177="%",IF(K177="","Blm Diisi",K177),IF(J177="Jumlah",IF(K177="","Blm Diisi",""),IF(J177="Rupiah",IF(K177="","Blm Diisi",""),IF(J177="","","-"))))))))</f>
        <v>0.8666666666666667</v>
      </c>
      <c r="M177" s="172"/>
      <c r="N177" s="174"/>
      <c r="O177" s="184"/>
      <c r="P177" s="295"/>
      <c r="Q177" s="263"/>
    </row>
    <row r="178" spans="1:17" s="82" customFormat="1">
      <c r="A178" s="82">
        <v>361</v>
      </c>
      <c r="B178" s="177"/>
      <c r="C178" s="178"/>
      <c r="D178" s="178"/>
      <c r="E178" s="178"/>
      <c r="F178" s="185" t="s">
        <v>120</v>
      </c>
      <c r="G178" s="180" t="s">
        <v>344</v>
      </c>
      <c r="H178" s="181"/>
      <c r="I178" s="182"/>
      <c r="J178" s="181" t="s">
        <v>30</v>
      </c>
      <c r="K178" s="253">
        <f>IF(OR(K179="",K180="",K181=""),"Blm Diisi",K179+K180+K181)</f>
        <v>15</v>
      </c>
      <c r="L178" s="172" t="str">
        <f>IF(J178="Ya/Tidak",IF(K178="Ya",1,IF(K178="Tidak",0,"Blm Diisi")),IF(J178="A/B/C",IF(K178="A",1,IF(K178="B",0.5,IF(K178="C",0,"Blm Diisi"))),IF(J178="A/B/C/D",IF(K178="A",1,IF(K178="B",0.67,IF(K178="C",0.33,IF(K178="D",0,"Blm Diisi")))),IF(J178="A/B/C/D/E",IF(K178="A",1,IF(K178="B",0.75,IF(K178="C",0.5,IF(K178="D",0.25,IF(K178="E",0,"Blm Diisi"))))),IF(J178="%",IF(K178="","Blm Diisi",K178),IF(J178="Jumlah",IF(K178="","Blm Diisi",""),IF(J178="Rupiah",IF(K178="","Blm Diisi",""),IF(J178="","","-"))))))))</f>
        <v/>
      </c>
      <c r="M178" s="172"/>
      <c r="N178" s="174"/>
      <c r="O178" s="186"/>
      <c r="P178" s="296"/>
      <c r="Q178" s="187"/>
    </row>
    <row r="179" spans="1:17" s="82" customFormat="1">
      <c r="A179" s="82">
        <v>362</v>
      </c>
      <c r="B179" s="177"/>
      <c r="C179" s="178"/>
      <c r="D179" s="178"/>
      <c r="E179" s="178"/>
      <c r="F179" s="188"/>
      <c r="G179" s="189" t="s">
        <v>351</v>
      </c>
      <c r="H179" s="181"/>
      <c r="I179" s="182"/>
      <c r="J179" s="181" t="s">
        <v>30</v>
      </c>
      <c r="K179" s="254">
        <v>1</v>
      </c>
      <c r="L179" s="172" t="str">
        <f>IF(J179="Ya/Tidak",IF(K179="Ya",1,IF(K179="Tidak",0,"Blm Diisi")),IF(J179="A/B/C",IF(K179="A",1,IF(K179="B",0.5,IF(K179="C",0,"Blm Diisi"))),IF(J179="A/B/C/D",IF(K179="A",1,IF(K179="B",0.67,IF(K179="C",0.33,IF(K179="D",0,"Blm Diisi")))),IF(J179="A/B/C/D/E",IF(K179="A",1,IF(K179="B",0.75,IF(K179="C",0.5,IF(K179="D",0.25,IF(K179="E",0,"Blm Diisi"))))),IF(J179="%",IF(K179="","Blm Diisi",K179),IF(J179="Jumlah",IF(K179="","Blm Diisi",""),IF(J179="Rupiah",IF(K179="","Blm Diisi",""),IF(J179="","","-"))))))))</f>
        <v/>
      </c>
      <c r="M179" s="172"/>
      <c r="N179" s="174"/>
      <c r="O179" s="139" t="s">
        <v>470</v>
      </c>
      <c r="P179" s="290"/>
      <c r="Q179" s="187"/>
    </row>
    <row r="180" spans="1:17" s="82" customFormat="1" ht="31.5">
      <c r="A180" s="82">
        <v>363</v>
      </c>
      <c r="B180" s="177"/>
      <c r="C180" s="178"/>
      <c r="D180" s="178"/>
      <c r="E180" s="178"/>
      <c r="F180" s="188"/>
      <c r="G180" s="189" t="s">
        <v>352</v>
      </c>
      <c r="H180" s="181"/>
      <c r="I180" s="182"/>
      <c r="J180" s="181" t="s">
        <v>30</v>
      </c>
      <c r="K180" s="254">
        <v>1</v>
      </c>
      <c r="L180" s="172" t="str">
        <f>IF(J180="Ya/Tidak",IF(K180="Ya",1,IF(K180="Tidak",0,"Blm Diisi")),IF(J180="A/B/C",IF(K180="A",1,IF(K180="B",0.5,IF(K180="C",0,"Blm Diisi"))),IF(J180="A/B/C/D",IF(K180="A",1,IF(K180="B",0.67,IF(K180="C",0.33,IF(K180="D",0,"Blm Diisi")))),IF(J180="A/B/C/D/E",IF(K180="A",1,IF(K180="B",0.75,IF(K180="C",0.5,IF(K180="D",0.25,IF(K180="E",0,"Blm Diisi"))))),IF(J180="%",IF(K180="","Blm Diisi",K180),IF(J180="Jumlah",IF(K180="","Blm Diisi",""),IF(J180="Rupiah",IF(K180="","Blm Diisi",""),IF(J180="","","-"))))))))</f>
        <v/>
      </c>
      <c r="M180" s="172"/>
      <c r="N180" s="174"/>
      <c r="O180" s="139" t="s">
        <v>470</v>
      </c>
      <c r="P180" s="290"/>
      <c r="Q180" s="187"/>
    </row>
    <row r="181" spans="1:17" s="82" customFormat="1">
      <c r="A181" s="82">
        <v>364</v>
      </c>
      <c r="B181" s="177"/>
      <c r="C181" s="178"/>
      <c r="D181" s="178"/>
      <c r="E181" s="178"/>
      <c r="F181" s="185"/>
      <c r="G181" s="189" t="s">
        <v>345</v>
      </c>
      <c r="H181" s="181"/>
      <c r="I181" s="182"/>
      <c r="J181" s="181" t="s">
        <v>30</v>
      </c>
      <c r="K181" s="254">
        <v>13</v>
      </c>
      <c r="L181" s="172" t="str">
        <f>IF(J181="Ya/Tidak",IF(K181="Ya",1,IF(K181="Tidak",0,"Blm Diisi")),IF(J181="A/B/C",IF(K181="A",1,IF(K181="B",0.5,IF(K181="C",0,"Blm Diisi"))),IF(J181="A/B/C/D",IF(K181="A",1,IF(K181="B",0.67,IF(K181="C",0.33,IF(K181="D",0,"Blm Diisi")))),IF(J181="A/B/C/D/E",IF(K181="A",1,IF(K181="B",0.75,IF(K181="C",0.5,IF(K181="D",0.25,IF(K181="E",0,"Blm Diisi"))))),IF(J181="%",IF(K181="","Blm Diisi",K181),IF(J181="Jumlah",IF(K181="","Blm Diisi",""),IF(J181="Rupiah",IF(K181="","Blm Diisi",""),IF(J181="","","-"))))))))</f>
        <v/>
      </c>
      <c r="M181" s="172"/>
      <c r="N181" s="174"/>
      <c r="O181" s="139" t="s">
        <v>472</v>
      </c>
      <c r="P181" s="290"/>
      <c r="Q181" s="187"/>
    </row>
    <row r="182" spans="1:17" s="82" customFormat="1">
      <c r="A182" s="82">
        <v>365</v>
      </c>
      <c r="B182" s="177"/>
      <c r="C182" s="178"/>
      <c r="D182" s="178"/>
      <c r="E182" s="178"/>
      <c r="F182" s="191" t="s">
        <v>120</v>
      </c>
      <c r="G182" s="180" t="s">
        <v>346</v>
      </c>
      <c r="H182" s="181"/>
      <c r="I182" s="182"/>
      <c r="J182" s="181" t="s">
        <v>30</v>
      </c>
      <c r="K182" s="254">
        <v>13</v>
      </c>
      <c r="L182" s="172" t="str">
        <f>IF(J182="Ya/Tidak",IF(K182="Ya",1,IF(K182="Tidak",0,"Blm Diisi")),IF(J182="A/B/C",IF(K182="A",1,IF(K182="B",0.5,IF(K182="C",0,"Blm Diisi"))),IF(J182="A/B/C/D",IF(K182="A",1,IF(K182="B",0.67,IF(K182="C",0.33,IF(K182="D",0,"Blm Diisi")))),IF(J182="A/B/C/D/E",IF(K182="A",1,IF(K182="B",0.75,IF(K182="C",0.5,IF(K182="D",0.25,IF(K182="E",0,"Blm Diisi"))))),IF(J182="%",IF(K182="","Blm Diisi",K182),IF(J182="Jumlah",IF(K182="","Blm Diisi",""),IF(J182="Rupiah",IF(K182="","Blm Diisi",""),IF(J182="","","-"))))))))</f>
        <v/>
      </c>
      <c r="M182" s="172"/>
      <c r="N182" s="174"/>
      <c r="O182" s="139" t="s">
        <v>471</v>
      </c>
      <c r="P182" s="290"/>
      <c r="Q182" s="187"/>
    </row>
    <row r="183" spans="1:17" s="128" customFormat="1" ht="33" customHeight="1">
      <c r="A183" s="128">
        <v>366</v>
      </c>
      <c r="B183" s="170"/>
      <c r="C183" s="171"/>
      <c r="D183" s="171"/>
      <c r="E183" s="171"/>
      <c r="F183" s="316" t="s">
        <v>98</v>
      </c>
      <c r="G183" s="317"/>
      <c r="H183" s="181">
        <v>1</v>
      </c>
      <c r="I183" s="182"/>
      <c r="J183" s="181"/>
      <c r="K183" s="181"/>
      <c r="L183" s="172">
        <f>AVERAGE(L184:L189)*H183</f>
        <v>1</v>
      </c>
      <c r="M183" s="172"/>
      <c r="N183" s="174"/>
      <c r="O183" s="175"/>
      <c r="P183" s="294"/>
      <c r="Q183" s="176"/>
    </row>
    <row r="184" spans="1:17" s="82" customFormat="1" ht="78.75">
      <c r="A184" s="82">
        <v>367</v>
      </c>
      <c r="B184" s="177"/>
      <c r="C184" s="178"/>
      <c r="D184" s="178"/>
      <c r="E184" s="178"/>
      <c r="F184" s="179" t="s">
        <v>120</v>
      </c>
      <c r="G184" s="180" t="s">
        <v>347</v>
      </c>
      <c r="H184" s="181"/>
      <c r="I184" s="182" t="s">
        <v>348</v>
      </c>
      <c r="J184" s="181" t="s">
        <v>29</v>
      </c>
      <c r="K184" s="183">
        <f>IF(OR(K185="",K189=""),"Blm Diisi",IF(K189/K185&gt;1,1,K189/K185))</f>
        <v>1</v>
      </c>
      <c r="L184" s="172">
        <f t="shared" ref="L184" si="9">IF(J184="Ya/Tidak",IF(K184="Ya",1,IF(K184="Tidak",0,"Blm Diisi")),IF(J184="A/B/C",IF(K184="A",1,IF(K184="B",0.5,IF(K184="C",0,"Blm Diisi"))),IF(J184="A/B/C/D",IF(K184="A",1,IF(K184="B",0.67,IF(K184="C",0.33,IF(K184="D",0,"Blm Diisi")))),IF(J184="A/B/C/D/E",IF(K184="A",1,IF(K184="B",0.75,IF(K184="C",0.5,IF(K184="D",0.25,IF(K184="E",0,"Blm Diisi"))))),IF(J184="%",IF(K184="","Blm Diisi",K184),IF(J184="Jumlah",IF(K184="","Blm Diisi",""),IF(J184="Rupiah",IF(K184="","Blm Diisi",""),IF(J184="","","-"))))))))</f>
        <v>1</v>
      </c>
      <c r="M184" s="172"/>
      <c r="N184" s="174"/>
      <c r="O184" s="184"/>
      <c r="P184" s="295"/>
      <c r="Q184" s="263"/>
    </row>
    <row r="185" spans="1:17" s="82" customFormat="1" ht="31.5">
      <c r="A185" s="82">
        <v>368</v>
      </c>
      <c r="B185" s="177"/>
      <c r="C185" s="178"/>
      <c r="D185" s="178"/>
      <c r="E185" s="178"/>
      <c r="F185" s="185" t="s">
        <v>120</v>
      </c>
      <c r="G185" s="180" t="s">
        <v>349</v>
      </c>
      <c r="H185" s="181"/>
      <c r="I185" s="182"/>
      <c r="J185" s="181" t="s">
        <v>30</v>
      </c>
      <c r="K185" s="181">
        <v>12</v>
      </c>
      <c r="L185" s="172" t="str">
        <f>IF(J185="Ya/Tidak",IF(K185="Ya",1,IF(K185="Tidak",0,"Blm Diisi")),IF(J185="A/B/C",IF(K185="A",1,IF(K185="B",0.5,IF(K185="C",0,"Blm Diisi"))),IF(J185="A/B/C/D",IF(K185="A",1,IF(K185="B",0.67,IF(K185="C",0.33,IF(K185="D",0,"Blm Diisi")))),IF(J185="A/B/C/D/E",IF(K185="A",1,IF(K185="B",0.75,IF(K185="C",0.5,IF(K185="D",0.25,IF(K185="E",0,"Blm Diisi"))))),IF(J185="%",IF(K185="","Blm Diisi",K185),IF(J185="Jumlah",IF(K185="","Blm Diisi",""),IF(J185="Rupiah",IF(K185="","Blm Diisi",""),IF(J185="","","-"))))))))</f>
        <v/>
      </c>
      <c r="M185" s="172"/>
      <c r="N185" s="192"/>
      <c r="O185" s="184"/>
      <c r="P185" s="295"/>
      <c r="Q185" s="263"/>
    </row>
    <row r="186" spans="1:17" s="82" customFormat="1">
      <c r="A186" s="82">
        <v>369</v>
      </c>
      <c r="B186" s="177"/>
      <c r="C186" s="178"/>
      <c r="D186" s="178"/>
      <c r="E186" s="178"/>
      <c r="F186" s="188"/>
      <c r="G186" s="189" t="s">
        <v>353</v>
      </c>
      <c r="H186" s="181"/>
      <c r="I186" s="182"/>
      <c r="J186" s="181" t="s">
        <v>30</v>
      </c>
      <c r="K186" s="190">
        <v>0</v>
      </c>
      <c r="L186" s="172" t="str">
        <f>IF(J186="Ya/Tidak",IF(K186="Ya",1,IF(K186="Tidak",0,"Blm Diisi")),IF(J186="A/B/C",IF(K186="A",1,IF(K186="B",0.5,IF(K186="C",0,"Blm Diisi"))),IF(J186="A/B/C/D",IF(K186="A",1,IF(K186="B",0.67,IF(K186="C",0.33,IF(K186="D",0,"Blm Diisi")))),IF(J186="A/B/C/D/E",IF(K186="A",1,IF(K186="B",0.75,IF(K186="C",0.5,IF(K186="D",0.25,IF(K186="E",0,"Blm Diisi"))))),IF(J186="%",IF(K186="","Blm Diisi",K186),IF(J186="Jumlah",IF(K186="","Blm Diisi",""),IF(J186="Rupiah",IF(K186="","Blm Diisi",""),IF(J186="","","-"))))))))</f>
        <v/>
      </c>
      <c r="M186" s="172"/>
      <c r="N186" s="193"/>
      <c r="O186" s="139" t="s">
        <v>473</v>
      </c>
      <c r="P186" s="290"/>
      <c r="Q186" s="263"/>
    </row>
    <row r="187" spans="1:17" s="82" customFormat="1">
      <c r="A187" s="82">
        <v>370</v>
      </c>
      <c r="B187" s="177"/>
      <c r="C187" s="178"/>
      <c r="D187" s="178"/>
      <c r="E187" s="178"/>
      <c r="F187" s="188"/>
      <c r="G187" s="189" t="s">
        <v>354</v>
      </c>
      <c r="H187" s="181"/>
      <c r="I187" s="182"/>
      <c r="J187" s="181" t="s">
        <v>30</v>
      </c>
      <c r="K187" s="190">
        <v>1</v>
      </c>
      <c r="L187" s="172" t="str">
        <f>IF(J187="Ya/Tidak",IF(K187="Ya",1,IF(K187="Tidak",0,"Blm Diisi")),IF(J187="A/B/C",IF(K187="A",1,IF(K187="B",0.5,IF(K187="C",0,"Blm Diisi"))),IF(J187="A/B/C/D",IF(K187="A",1,IF(K187="B",0.67,IF(K187="C",0.33,IF(K187="D",0,"Blm Diisi")))),IF(J187="A/B/C/D/E",IF(K187="A",1,IF(K187="B",0.75,IF(K187="C",0.5,IF(K187="D",0.25,IF(K187="E",0,"Blm Diisi"))))),IF(J187="%",IF(K187="","Blm Diisi",K187),IF(J187="Jumlah",IF(K187="","Blm Diisi",""),IF(J187="Rupiah",IF(K187="","Blm Diisi",""),IF(J187="","","-"))))))))</f>
        <v/>
      </c>
      <c r="M187" s="172"/>
      <c r="N187" s="174"/>
      <c r="O187" s="139" t="s">
        <v>474</v>
      </c>
      <c r="P187" s="290"/>
      <c r="Q187" s="187"/>
    </row>
    <row r="188" spans="1:17" s="82" customFormat="1">
      <c r="A188" s="82">
        <v>371</v>
      </c>
      <c r="B188" s="177"/>
      <c r="C188" s="178"/>
      <c r="D188" s="178"/>
      <c r="E188" s="178"/>
      <c r="F188" s="185"/>
      <c r="G188" s="189" t="s">
        <v>350</v>
      </c>
      <c r="H188" s="181"/>
      <c r="I188" s="182"/>
      <c r="J188" s="181" t="s">
        <v>30</v>
      </c>
      <c r="K188" s="190">
        <v>12</v>
      </c>
      <c r="L188" s="172" t="str">
        <f>IF(J188="Ya/Tidak",IF(K188="Ya",1,IF(K188="Tidak",0,"Blm Diisi")),IF(J188="A/B/C",IF(K188="A",1,IF(K188="B",0.5,IF(K188="C",0,"Blm Diisi"))),IF(J188="A/B/C/D",IF(K188="A",1,IF(K188="B",0.67,IF(K188="C",0.33,IF(K188="D",0,"Blm Diisi")))),IF(J188="A/B/C/D/E",IF(K188="A",1,IF(K188="B",0.75,IF(K188="C",0.5,IF(K188="D",0.25,IF(K188="E",0,"Blm Diisi"))))),IF(J188="%",IF(K188="","Blm Diisi",K188),IF(J188="Jumlah",IF(K188="","Blm Diisi",""),IF(J188="Rupiah",IF(K188="","Blm Diisi",""),IF(J188="","","-"))))))))</f>
        <v/>
      </c>
      <c r="M188" s="172"/>
      <c r="N188" s="174"/>
      <c r="O188" s="139" t="s">
        <v>483</v>
      </c>
      <c r="P188" s="290"/>
      <c r="Q188" s="187"/>
    </row>
    <row r="189" spans="1:17" s="82" customFormat="1">
      <c r="A189" s="82">
        <v>372</v>
      </c>
      <c r="B189" s="177"/>
      <c r="C189" s="178"/>
      <c r="D189" s="178"/>
      <c r="E189" s="178"/>
      <c r="F189" s="191" t="s">
        <v>120</v>
      </c>
      <c r="G189" s="180" t="s">
        <v>346</v>
      </c>
      <c r="H189" s="181"/>
      <c r="I189" s="182"/>
      <c r="J189" s="181" t="s">
        <v>30</v>
      </c>
      <c r="K189" s="190">
        <v>12</v>
      </c>
      <c r="L189" s="172" t="str">
        <f>IF(J189="Ya/Tidak",IF(K189="Ya",1,IF(K189="Tidak",0,"Blm Diisi")),IF(J189="A/B/C",IF(K189="A",1,IF(K189="B",0.5,IF(K189="C",0,"Blm Diisi"))),IF(J189="A/B/C/D",IF(K189="A",1,IF(K189="B",0.67,IF(K189="C",0.33,IF(K189="D",0,"Blm Diisi")))),IF(J189="A/B/C/D/E",IF(K189="A",1,IF(K189="B",0.75,IF(K189="C",0.5,IF(K189="D",0.25,IF(K189="E",0,"Blm Diisi"))))),IF(J189="%",IF(K189="","Blm Diisi",K189),IF(J189="Jumlah",IF(K189="","Blm Diisi",""),IF(J189="Rupiah",IF(K189="","Blm Diisi",""),IF(J189="","","-"))))))))</f>
        <v/>
      </c>
      <c r="M189" s="172"/>
      <c r="N189" s="174"/>
      <c r="O189" s="139" t="s">
        <v>482</v>
      </c>
      <c r="P189" s="290"/>
      <c r="Q189" s="187"/>
    </row>
    <row r="190" spans="1:17" s="9" customFormat="1" ht="31.5">
      <c r="A190">
        <v>203</v>
      </c>
      <c r="B190" s="152"/>
      <c r="C190" s="153"/>
      <c r="D190" s="154" t="s">
        <v>18</v>
      </c>
      <c r="E190" s="315" t="s">
        <v>51</v>
      </c>
      <c r="F190" s="315"/>
      <c r="G190" s="315"/>
      <c r="H190" s="155">
        <v>5</v>
      </c>
      <c r="I190" s="156"/>
      <c r="J190" s="155"/>
      <c r="K190" s="155"/>
      <c r="L190" s="155">
        <f>SUM(L191,L196)</f>
        <v>5</v>
      </c>
      <c r="M190" s="157">
        <f>L190/H190</f>
        <v>1</v>
      </c>
      <c r="N190" s="147"/>
      <c r="O190" s="158"/>
      <c r="P190" s="292"/>
      <c r="Q190" s="262"/>
    </row>
    <row r="191" spans="1:17" s="9" customFormat="1">
      <c r="A191">
        <v>204</v>
      </c>
      <c r="B191" s="142"/>
      <c r="C191" s="143"/>
      <c r="D191" s="143"/>
      <c r="E191" s="194" t="s">
        <v>111</v>
      </c>
      <c r="F191" s="315" t="s">
        <v>102</v>
      </c>
      <c r="G191" s="315"/>
      <c r="H191" s="144">
        <v>2.5</v>
      </c>
      <c r="I191" s="145"/>
      <c r="J191" s="144"/>
      <c r="K191" s="144"/>
      <c r="L191" s="144">
        <f>AVERAGE(L192:L195)*H191</f>
        <v>2.5</v>
      </c>
      <c r="M191" s="146">
        <f>L191/H191</f>
        <v>1</v>
      </c>
      <c r="N191" s="147"/>
      <c r="O191" s="148"/>
      <c r="P191" s="291"/>
      <c r="Q191" s="262"/>
    </row>
    <row r="192" spans="1:17" s="126" customFormat="1" ht="220.5">
      <c r="A192" s="125">
        <v>205</v>
      </c>
      <c r="B192" s="129"/>
      <c r="C192" s="130"/>
      <c r="D192" s="130"/>
      <c r="E192" s="130"/>
      <c r="F192" s="149" t="s">
        <v>2</v>
      </c>
      <c r="G192" s="140" t="s">
        <v>299</v>
      </c>
      <c r="H192" s="133"/>
      <c r="I192" s="150" t="s">
        <v>140</v>
      </c>
      <c r="J192" s="134" t="s">
        <v>9</v>
      </c>
      <c r="K192" s="151" t="s">
        <v>40</v>
      </c>
      <c r="L192" s="136">
        <f>IF(J192="Ya/Tidak",IF(K192="Ya",1,IF(K192="Tidak",0,"Blm Diisi")),IF(J192="A/B/C",IF(K192="A",1,IF(K192="B",0.5,IF(K192="C",0,"Blm Diisi"))),IF(J192="A/B/C/D",IF(K192="A",1,IF(K192="B",0.67,IF(K192="C",0.33,IF(K192="D",0,"Blm Diisi")))),IF(J192="A/B/C/D/E",IF(K192="A",1,IF(K192="B",0.75,IF(K192="C",0.5,IF(K192="D",0.25,IF(K192="E",0,"Blm Diisi"))))),IF(J192="%",IF(K192="","Blm Diisi",K192),IF(J192="Jumlah",IF(K192="","Blm Diisi",""),IF(J192="Rupiah",IF(K192="","Blm Diisi",""),IF(J192="","","-"))))))))</f>
        <v>1</v>
      </c>
      <c r="M192" s="137"/>
      <c r="N192" s="138"/>
      <c r="O192" s="139" t="s">
        <v>475</v>
      </c>
      <c r="P192" s="290"/>
      <c r="Q192" s="262"/>
    </row>
    <row r="193" spans="1:17" s="126" customFormat="1" ht="94.5" customHeight="1">
      <c r="A193" s="125">
        <v>206</v>
      </c>
      <c r="B193" s="129"/>
      <c r="C193" s="130"/>
      <c r="D193" s="130"/>
      <c r="E193" s="130"/>
      <c r="F193" s="149" t="s">
        <v>4</v>
      </c>
      <c r="G193" s="140" t="s">
        <v>362</v>
      </c>
      <c r="H193" s="133"/>
      <c r="I193" s="132" t="s">
        <v>57</v>
      </c>
      <c r="J193" s="134" t="s">
        <v>29</v>
      </c>
      <c r="K193" s="135">
        <f>IF(OR(K194="",K195=""),"Blm Diisi",IF(K195/K194&gt;1,1,K195/K194))</f>
        <v>1</v>
      </c>
      <c r="L193" s="136">
        <f>IF(J193="Ya/Tidak",IF(K193="Ya",1,IF(K193="Tidak",0,"Blm Diisi")),IF(J193="A/B/C",IF(K193="A",1,IF(K193="B",0.5,IF(K193="C",0,"Blm Diisi"))),IF(J193="A/B/C/D",IF(K193="A",1,IF(K193="B",0.67,IF(K193="C",0.33,IF(K193="D",0,"Blm Diisi")))),IF(J193="A/B/C/D/E",IF(K193="A",1,IF(K193="B",0.75,IF(K193="C",0.5,IF(K193="D",0.25,IF(K193="E",0,"Blm Diisi"))))),IF(J193="%",IF(K193="","Blm Diisi",K193),IF(J193="Jumlah",IF(K193="","Blm Diisi",""),IF(J193="Rupiah",IF(K193="","Blm Diisi",""),IF(J193="","","-"))))))))</f>
        <v>1</v>
      </c>
      <c r="M193" s="137"/>
      <c r="N193" s="138"/>
      <c r="O193" s="195"/>
      <c r="P193" s="290"/>
      <c r="Q193" s="262"/>
    </row>
    <row r="194" spans="1:17" s="1" customFormat="1" ht="31.5">
      <c r="A194">
        <v>207</v>
      </c>
      <c r="B194" s="129"/>
      <c r="C194" s="130"/>
      <c r="D194" s="130"/>
      <c r="E194" s="130"/>
      <c r="F194" s="149"/>
      <c r="G194" s="140" t="s">
        <v>197</v>
      </c>
      <c r="H194" s="133"/>
      <c r="I194" s="132"/>
      <c r="J194" s="134" t="s">
        <v>30</v>
      </c>
      <c r="K194" s="141">
        <v>1</v>
      </c>
      <c r="L194" s="136" t="str">
        <f>IF(J194="Ya/Tidak",IF(K194="Ya",1,IF(K194="Tidak",0,"Blm Diisi")),IF(J194="A/B/C",IF(K194="A",1,IF(K194="B",0.5,IF(K194="C",0,"Blm Diisi"))),IF(J194="A/B/C/D",IF(K194="A",1,IF(K194="B",0.67,IF(K194="C",0.33,IF(K194="D",0,"Blm Diisi")))),IF(J194="A/B/C/D/E",IF(K194="A",1,IF(K194="B",0.75,IF(K194="C",0.5,IF(K194="D",0.25,IF(K194="E",0,"Blm Diisi"))))),IF(J194="%",IF(K194="","Blm Diisi",K194),IF(J194="Jumlah",IF(K194="","Blm Diisi",""),IF(J194="Rupiah",IF(K194="","Blm Diisi",""),IF(J194="","","-"))))))))</f>
        <v/>
      </c>
      <c r="M194" s="137"/>
      <c r="N194" s="138"/>
      <c r="O194" s="139"/>
      <c r="P194" s="290"/>
      <c r="Q194" s="262"/>
    </row>
    <row r="195" spans="1:17" s="1" customFormat="1" ht="31.5">
      <c r="A195">
        <v>208</v>
      </c>
      <c r="B195" s="129"/>
      <c r="C195" s="130"/>
      <c r="D195" s="130"/>
      <c r="E195" s="130"/>
      <c r="F195" s="149"/>
      <c r="G195" s="140" t="s">
        <v>198</v>
      </c>
      <c r="H195" s="133"/>
      <c r="I195" s="132"/>
      <c r="J195" s="134" t="s">
        <v>30</v>
      </c>
      <c r="K195" s="141">
        <v>1</v>
      </c>
      <c r="L195" s="136" t="str">
        <f>IF(J195="Ya/Tidak",IF(K195="Ya",1,IF(K195="Tidak",0,"Blm Diisi")),IF(J195="A/B/C",IF(K195="A",1,IF(K195="B",0.5,IF(K195="C",0,"Blm Diisi"))),IF(J195="A/B/C/D",IF(K195="A",1,IF(K195="B",0.67,IF(K195="C",0.33,IF(K195="D",0,"Blm Diisi")))),IF(J195="A/B/C/D/E",IF(K195="A",1,IF(K195="B",0.75,IF(K195="C",0.5,IF(K195="D",0.25,IF(K195="E",0,"Blm Diisi"))))),IF(J195="%",IF(K195="","Blm Diisi",K195),IF(J195="Jumlah",IF(K195="","Blm Diisi",""),IF(J195="Rupiah",IF(K195="","Blm Diisi",""),IF(J195="","","-"))))))))</f>
        <v/>
      </c>
      <c r="M195" s="137"/>
      <c r="N195" s="138"/>
      <c r="O195" s="139"/>
      <c r="P195" s="290"/>
      <c r="Q195" s="262"/>
    </row>
    <row r="196" spans="1:17" s="9" customFormat="1" ht="14.65" customHeight="1">
      <c r="A196">
        <v>209</v>
      </c>
      <c r="B196" s="142"/>
      <c r="C196" s="143"/>
      <c r="D196" s="143"/>
      <c r="E196" s="194" t="s">
        <v>115</v>
      </c>
      <c r="F196" s="306" t="s">
        <v>103</v>
      </c>
      <c r="G196" s="307"/>
      <c r="H196" s="144">
        <v>2.5</v>
      </c>
      <c r="I196" s="145"/>
      <c r="J196" s="144"/>
      <c r="K196" s="144"/>
      <c r="L196" s="144">
        <f>AVERAGE(L197)*H196</f>
        <v>2.5</v>
      </c>
      <c r="M196" s="146">
        <f>L196/H196</f>
        <v>1</v>
      </c>
      <c r="N196" s="147"/>
      <c r="O196" s="148"/>
      <c r="P196" s="291"/>
      <c r="Q196" s="262"/>
    </row>
    <row r="197" spans="1:17" s="1" customFormat="1" ht="157.5">
      <c r="A197">
        <v>210</v>
      </c>
      <c r="B197" s="129"/>
      <c r="C197" s="130"/>
      <c r="D197" s="130"/>
      <c r="E197" s="130"/>
      <c r="F197" s="149" t="s">
        <v>120</v>
      </c>
      <c r="G197" s="140" t="s">
        <v>52</v>
      </c>
      <c r="H197" s="133"/>
      <c r="I197" s="150" t="s">
        <v>104</v>
      </c>
      <c r="J197" s="134" t="s">
        <v>9</v>
      </c>
      <c r="K197" s="151" t="s">
        <v>40</v>
      </c>
      <c r="L197" s="196">
        <f>IF(J197="Ya/Tidak",IF(K197="Ya",1,IF(K197="Tidak",0,"Blm Diisi")),IF(J197="A/B/C",IF(K197="A",1,IF(K197="B",0.5,IF(K197="C",0,"Blm Diisi"))),IF(J197="A/B/C/D",IF(K197="A",1,IF(K197="B",0.67,IF(K197="C",0.33,IF(K197="D",0,"Blm Diisi")))),IF(J197="A/B/C/D/E",IF(K197="A",1,IF(K197="B",0.75,IF(K197="C",0.5,IF(K197="D",0.25,IF(K197="E",0,"Blm Diisi"))))),IF(J197="%",IF(K197="","Blm Diisi",K197),IF(J197="Jumlah",IF(K197="","Blm Diisi",""),IF(J197="Rupiah",IF(K197="","Blm Diisi",""),IF(J197="","","-"))))))))</f>
        <v>1</v>
      </c>
      <c r="M197" s="137"/>
      <c r="N197" s="138"/>
      <c r="O197" s="139" t="s">
        <v>476</v>
      </c>
      <c r="P197" s="290"/>
      <c r="Q197" s="262"/>
    </row>
    <row r="198" spans="1:17" s="15" customFormat="1" ht="18">
      <c r="A198">
        <v>211</v>
      </c>
      <c r="B198" s="308" t="s">
        <v>127</v>
      </c>
      <c r="C198" s="308"/>
      <c r="D198" s="308"/>
      <c r="E198" s="308"/>
      <c r="F198" s="308"/>
      <c r="G198" s="308"/>
      <c r="H198" s="308"/>
      <c r="I198" s="308"/>
      <c r="J198" s="197"/>
      <c r="K198" s="197"/>
      <c r="L198" s="197">
        <f>SUM(L125,L5)</f>
        <v>55.576190476190476</v>
      </c>
      <c r="M198" s="198"/>
      <c r="N198" s="199"/>
      <c r="O198" s="200"/>
      <c r="P198" s="297"/>
      <c r="Q198" s="199"/>
    </row>
    <row r="199" spans="1:17" customFormat="1" ht="15">
      <c r="A199">
        <v>212</v>
      </c>
      <c r="B199" s="201"/>
      <c r="C199" s="202"/>
      <c r="D199" s="202"/>
      <c r="E199" s="203"/>
      <c r="F199" s="203"/>
      <c r="G199" s="203"/>
      <c r="H199" s="204"/>
      <c r="I199" s="203"/>
      <c r="J199" s="205"/>
      <c r="K199" s="205"/>
      <c r="L199" s="205"/>
      <c r="M199" s="206"/>
      <c r="N199" s="203"/>
      <c r="O199" s="249"/>
      <c r="P199" s="298"/>
      <c r="Q199" s="203"/>
    </row>
    <row r="200" spans="1:17" s="15" customFormat="1" ht="36">
      <c r="A200">
        <v>214</v>
      </c>
      <c r="B200" s="207" t="s">
        <v>13</v>
      </c>
      <c r="C200" s="309" t="s">
        <v>128</v>
      </c>
      <c r="D200" s="309"/>
      <c r="E200" s="309"/>
      <c r="F200" s="309"/>
      <c r="G200" s="309"/>
      <c r="H200" s="208">
        <v>40</v>
      </c>
      <c r="I200" s="209"/>
      <c r="J200" s="197"/>
      <c r="K200" s="197"/>
      <c r="L200" s="197">
        <f>L206</f>
        <v>40</v>
      </c>
      <c r="M200" s="198">
        <f>L200/H200</f>
        <v>1</v>
      </c>
      <c r="N200" s="199"/>
      <c r="O200" s="200"/>
      <c r="P200" s="297"/>
      <c r="Q200" s="199"/>
    </row>
    <row r="201" spans="1:17" s="14" customFormat="1" ht="18">
      <c r="A201">
        <v>215</v>
      </c>
      <c r="B201" s="210"/>
      <c r="C201" s="210" t="s">
        <v>1</v>
      </c>
      <c r="D201" s="304" t="s">
        <v>300</v>
      </c>
      <c r="E201" s="304"/>
      <c r="F201" s="304"/>
      <c r="G201" s="304"/>
      <c r="H201" s="208">
        <v>22.5</v>
      </c>
      <c r="I201" s="211"/>
      <c r="J201" s="208"/>
      <c r="K201" s="208"/>
      <c r="L201" s="208">
        <f>SUM(L202,L203)</f>
        <v>22.5</v>
      </c>
      <c r="M201" s="212">
        <f>L201/H201</f>
        <v>1</v>
      </c>
      <c r="N201" s="213"/>
      <c r="O201" s="214"/>
      <c r="P201" s="299"/>
      <c r="Q201" s="213"/>
    </row>
    <row r="202" spans="1:17" s="9" customFormat="1" ht="47.25">
      <c r="A202">
        <v>216</v>
      </c>
      <c r="B202" s="215"/>
      <c r="C202" s="216"/>
      <c r="D202" s="217" t="s">
        <v>41</v>
      </c>
      <c r="E202" s="305" t="s">
        <v>129</v>
      </c>
      <c r="F202" s="305"/>
      <c r="G202" s="305"/>
      <c r="H202" s="218">
        <v>17.5</v>
      </c>
      <c r="I202" s="219" t="s">
        <v>132</v>
      </c>
      <c r="J202" s="218" t="s">
        <v>135</v>
      </c>
      <c r="K202" s="220">
        <v>4</v>
      </c>
      <c r="L202" s="218">
        <f>IF(K202="","Blm Diisi",K202/4)*H202</f>
        <v>17.5</v>
      </c>
      <c r="M202" s="221"/>
      <c r="N202" s="147"/>
      <c r="O202" s="222" t="s">
        <v>477</v>
      </c>
      <c r="P202" s="300"/>
      <c r="Q202" s="147"/>
    </row>
    <row r="203" spans="1:17" s="1" customFormat="1" ht="168" customHeight="1">
      <c r="A203">
        <v>217</v>
      </c>
      <c r="B203" s="215"/>
      <c r="C203" s="216"/>
      <c r="D203" s="217" t="s">
        <v>42</v>
      </c>
      <c r="E203" s="305" t="s">
        <v>199</v>
      </c>
      <c r="F203" s="305"/>
      <c r="G203" s="305"/>
      <c r="H203" s="218">
        <v>5</v>
      </c>
      <c r="I203" s="219" t="s">
        <v>363</v>
      </c>
      <c r="J203" s="134" t="s">
        <v>5</v>
      </c>
      <c r="K203" s="151" t="s">
        <v>40</v>
      </c>
      <c r="L203" s="218">
        <f>IF(J203="Ya/Tidak",IF(K203="Ya",1,IF(K203="Tidak",0,"Blm Diisi")),IF(J203="A/B/C",IF(K203="A",1,IF(K203="B",0.5,IF(K203="C",0,"Blm Diisi"))),IF(J203="A/B/C/D",IF(K203="A",1,IF(K203="B",0.67,IF(K203="C",0.33,IF(K203="D",0,"Blm Diisi")))),IF(J203="A/B/C/D/E",IF(K203="A",1,IF(K203="B",0.75,IF(K203="C",0.5,IF(K203="D",0.25,IF(K203="E",0,"Blm Diisi"))))),IF(J203="%",IF(K203="","Blm Diisi",K203),IF(J203="Jumlah",IF(K203="","Blm Diisi",""),IF(J203="Rupiah",IF(K203="","Blm Diisi",""),IF(J203="","","-"))))))))*H203</f>
        <v>5</v>
      </c>
      <c r="M203" s="221"/>
      <c r="N203" s="147"/>
      <c r="O203" s="222" t="s">
        <v>478</v>
      </c>
      <c r="P203" s="300"/>
      <c r="Q203" s="138"/>
    </row>
    <row r="204" spans="1:17" s="14" customFormat="1" ht="18">
      <c r="A204">
        <v>218</v>
      </c>
      <c r="B204" s="210"/>
      <c r="C204" s="210" t="s">
        <v>12</v>
      </c>
      <c r="D204" s="304" t="s">
        <v>301</v>
      </c>
      <c r="E204" s="304"/>
      <c r="F204" s="304"/>
      <c r="G204" s="304"/>
      <c r="H204" s="208">
        <v>17.5</v>
      </c>
      <c r="I204" s="211"/>
      <c r="J204" s="208"/>
      <c r="K204" s="208"/>
      <c r="L204" s="208">
        <f>SUM(L205)</f>
        <v>17.5</v>
      </c>
      <c r="M204" s="212">
        <f>L204/H204</f>
        <v>1</v>
      </c>
      <c r="N204" s="223"/>
      <c r="O204" s="214"/>
      <c r="P204" s="299"/>
      <c r="Q204" s="138"/>
    </row>
    <row r="205" spans="1:17" s="9" customFormat="1" ht="47.25">
      <c r="A205">
        <v>219</v>
      </c>
      <c r="B205" s="224"/>
      <c r="C205" s="225"/>
      <c r="D205" s="226" t="s">
        <v>41</v>
      </c>
      <c r="E205" s="311" t="s">
        <v>130</v>
      </c>
      <c r="F205" s="311"/>
      <c r="G205" s="311"/>
      <c r="H205" s="227">
        <v>17.5</v>
      </c>
      <c r="I205" s="228" t="s">
        <v>131</v>
      </c>
      <c r="J205" s="227" t="s">
        <v>135</v>
      </c>
      <c r="K205" s="229">
        <v>4</v>
      </c>
      <c r="L205" s="227">
        <f>IF(K205="","Blm Diisi",K205/4)*H205</f>
        <v>17.5</v>
      </c>
      <c r="M205" s="230"/>
      <c r="N205" s="147"/>
      <c r="O205" s="231" t="s">
        <v>479</v>
      </c>
      <c r="P205" s="300"/>
      <c r="Q205" s="138"/>
    </row>
    <row r="206" spans="1:17" s="15" customFormat="1" ht="18">
      <c r="A206">
        <v>221</v>
      </c>
      <c r="B206" s="312" t="s">
        <v>23</v>
      </c>
      <c r="C206" s="312"/>
      <c r="D206" s="312"/>
      <c r="E206" s="312"/>
      <c r="F206" s="312"/>
      <c r="G206" s="312"/>
      <c r="H206" s="312"/>
      <c r="I206" s="312"/>
      <c r="J206" s="197"/>
      <c r="K206" s="197"/>
      <c r="L206" s="197">
        <f>SUM(L201,L204)</f>
        <v>40</v>
      </c>
      <c r="M206" s="198"/>
      <c r="N206" s="199"/>
      <c r="O206" s="200"/>
      <c r="P206" s="297"/>
      <c r="Q206" s="138"/>
    </row>
    <row r="207" spans="1:17" s="117" customFormat="1" ht="15">
      <c r="A207" s="117">
        <v>222</v>
      </c>
      <c r="B207" s="203"/>
      <c r="C207" s="202"/>
      <c r="D207" s="202"/>
      <c r="E207" s="203"/>
      <c r="F207" s="203"/>
      <c r="G207" s="203"/>
      <c r="H207" s="205"/>
      <c r="I207" s="203"/>
      <c r="J207" s="205"/>
      <c r="K207" s="205"/>
      <c r="L207" s="205"/>
      <c r="M207" s="205"/>
      <c r="N207" s="203"/>
      <c r="O207" s="250"/>
      <c r="P207" s="250"/>
      <c r="Q207" s="203"/>
    </row>
    <row r="208" spans="1:17" s="118" customFormat="1" ht="24">
      <c r="A208" s="117">
        <v>223</v>
      </c>
      <c r="B208" s="313" t="s">
        <v>364</v>
      </c>
      <c r="C208" s="313"/>
      <c r="D208" s="313"/>
      <c r="E208" s="313"/>
      <c r="F208" s="313"/>
      <c r="G208" s="313"/>
      <c r="H208" s="313"/>
      <c r="I208" s="313"/>
      <c r="J208" s="313"/>
      <c r="K208" s="313"/>
      <c r="L208" s="232">
        <f>SUM(L198,L206)</f>
        <v>95.576190476190476</v>
      </c>
      <c r="M208" s="233"/>
      <c r="N208" s="234"/>
      <c r="O208" s="235"/>
      <c r="P208" s="301"/>
      <c r="Q208" s="138"/>
    </row>
    <row r="209" spans="2:17">
      <c r="B209" s="236"/>
      <c r="C209" s="237"/>
      <c r="D209" s="237"/>
      <c r="E209" s="237"/>
      <c r="F209" s="238"/>
      <c r="G209" s="239"/>
      <c r="H209" s="240"/>
      <c r="I209" s="241"/>
      <c r="J209" s="242"/>
      <c r="K209" s="242"/>
      <c r="L209" s="242"/>
      <c r="M209" s="243"/>
      <c r="N209" s="244"/>
      <c r="O209" s="251"/>
      <c r="P209" s="302"/>
      <c r="Q209" s="138"/>
    </row>
    <row r="210" spans="2:17">
      <c r="B210" s="236"/>
      <c r="C210" s="237"/>
      <c r="D210" s="237"/>
      <c r="E210" s="237"/>
      <c r="F210" s="238"/>
      <c r="G210" s="239"/>
      <c r="H210" s="240"/>
      <c r="I210" s="241"/>
      <c r="J210" s="242"/>
      <c r="K210" s="242"/>
      <c r="L210" s="242"/>
      <c r="M210" s="243"/>
      <c r="N210" s="244"/>
      <c r="O210" s="251"/>
      <c r="P210" s="302"/>
      <c r="Q210" s="138"/>
    </row>
    <row r="211" spans="2:17">
      <c r="B211" s="236"/>
      <c r="C211" s="237"/>
      <c r="D211" s="237"/>
      <c r="E211" s="237"/>
      <c r="F211" s="238"/>
      <c r="G211" s="239"/>
      <c r="H211" s="240"/>
      <c r="I211" s="241"/>
      <c r="J211" s="242"/>
      <c r="K211" s="242"/>
      <c r="L211" s="242"/>
      <c r="M211" s="243"/>
      <c r="N211" s="244"/>
      <c r="O211" s="251"/>
      <c r="P211" s="302"/>
      <c r="Q211" s="138"/>
    </row>
    <row r="212" spans="2:17">
      <c r="B212" s="236"/>
      <c r="C212" s="237"/>
      <c r="D212" s="237"/>
      <c r="E212" s="237"/>
      <c r="F212" s="238"/>
      <c r="G212" s="239"/>
      <c r="H212" s="240"/>
      <c r="I212" s="241"/>
      <c r="J212" s="242"/>
      <c r="K212" s="242"/>
      <c r="L212" s="242"/>
      <c r="M212" s="243"/>
      <c r="N212" s="244"/>
      <c r="O212" s="251"/>
      <c r="P212" s="302"/>
      <c r="Q212" s="138"/>
    </row>
    <row r="213" spans="2:17" ht="15" customHeight="1">
      <c r="B213" s="236"/>
      <c r="C213" s="237"/>
      <c r="D213" s="237"/>
      <c r="E213" s="237"/>
      <c r="F213" s="238"/>
      <c r="G213" s="239"/>
      <c r="H213" s="240"/>
      <c r="I213" s="241"/>
      <c r="J213" s="314" t="s">
        <v>365</v>
      </c>
      <c r="K213" s="314"/>
      <c r="L213" s="314"/>
      <c r="M213" s="314"/>
      <c r="N213" s="314"/>
      <c r="O213" s="251"/>
      <c r="P213" s="302"/>
      <c r="Q213" s="138"/>
    </row>
    <row r="214" spans="2:17" ht="15.6" customHeight="1">
      <c r="B214" s="236"/>
      <c r="C214" s="237"/>
      <c r="D214" s="237"/>
      <c r="E214" s="237"/>
      <c r="F214" s="238"/>
      <c r="G214" s="239"/>
      <c r="H214" s="240"/>
      <c r="I214" s="241"/>
      <c r="J214" s="314"/>
      <c r="K214" s="314"/>
      <c r="L214" s="314"/>
      <c r="M214" s="314"/>
      <c r="N214" s="314"/>
      <c r="O214" s="251"/>
      <c r="P214" s="302"/>
      <c r="Q214" s="138"/>
    </row>
    <row r="215" spans="2:17" ht="15.6" customHeight="1">
      <c r="B215" s="236"/>
      <c r="C215" s="237"/>
      <c r="D215" s="237"/>
      <c r="E215" s="237"/>
      <c r="F215" s="238"/>
      <c r="G215" s="239"/>
      <c r="H215" s="240"/>
      <c r="I215" s="241"/>
      <c r="J215" s="314"/>
      <c r="K215" s="314"/>
      <c r="L215" s="314"/>
      <c r="M215" s="314"/>
      <c r="N215" s="314"/>
      <c r="O215" s="251"/>
      <c r="P215" s="302"/>
      <c r="Q215" s="138"/>
    </row>
    <row r="216" spans="2:17" ht="15.6" customHeight="1">
      <c r="B216" s="236"/>
      <c r="C216" s="237"/>
      <c r="D216" s="237"/>
      <c r="E216" s="237"/>
      <c r="F216" s="238"/>
      <c r="G216" s="239"/>
      <c r="H216" s="240"/>
      <c r="I216" s="241"/>
      <c r="J216" s="314"/>
      <c r="K216" s="314"/>
      <c r="L216" s="314"/>
      <c r="M216" s="314"/>
      <c r="N216" s="314"/>
      <c r="O216" s="251"/>
      <c r="P216" s="302"/>
      <c r="Q216" s="244"/>
    </row>
    <row r="217" spans="2:17" ht="22.9" customHeight="1">
      <c r="B217" s="236"/>
      <c r="C217" s="237"/>
      <c r="D217" s="237"/>
      <c r="E217" s="237"/>
      <c r="F217" s="238"/>
      <c r="G217" s="239"/>
      <c r="H217" s="240"/>
      <c r="I217" s="241"/>
      <c r="J217" s="314"/>
      <c r="K217" s="314"/>
      <c r="L217" s="314"/>
      <c r="M217" s="314"/>
      <c r="N217" s="314"/>
      <c r="O217" s="251"/>
      <c r="P217" s="302"/>
      <c r="Q217" s="244"/>
    </row>
    <row r="218" spans="2:17" ht="23.25">
      <c r="B218" s="236"/>
      <c r="C218" s="237"/>
      <c r="D218" s="237"/>
      <c r="E218" s="237"/>
      <c r="F218" s="238"/>
      <c r="G218" s="239"/>
      <c r="H218" s="240"/>
      <c r="I218" s="241"/>
      <c r="J218" s="245"/>
      <c r="K218" s="245"/>
      <c r="L218" s="245"/>
      <c r="M218" s="246"/>
      <c r="N218" s="244"/>
      <c r="O218" s="251"/>
      <c r="P218" s="302"/>
      <c r="Q218" s="244"/>
    </row>
    <row r="219" spans="2:17" ht="23.25">
      <c r="B219" s="236"/>
      <c r="C219" s="237"/>
      <c r="D219" s="237"/>
      <c r="E219" s="237"/>
      <c r="F219" s="238"/>
      <c r="G219" s="239"/>
      <c r="H219" s="240"/>
      <c r="I219" s="241"/>
      <c r="J219" s="245"/>
      <c r="K219" s="247" t="s">
        <v>367</v>
      </c>
      <c r="L219" s="245"/>
      <c r="M219" s="246"/>
      <c r="N219" s="244"/>
      <c r="O219" s="251"/>
      <c r="P219" s="302"/>
      <c r="Q219" s="244"/>
    </row>
    <row r="220" spans="2:17" ht="23.25">
      <c r="B220" s="236"/>
      <c r="C220" s="237"/>
      <c r="D220" s="237"/>
      <c r="E220" s="237"/>
      <c r="F220" s="238"/>
      <c r="G220" s="239"/>
      <c r="H220" s="240"/>
      <c r="I220" s="241"/>
      <c r="J220" s="245"/>
      <c r="K220" s="245"/>
      <c r="L220" s="245"/>
      <c r="M220" s="246"/>
      <c r="N220" s="244"/>
      <c r="O220" s="251"/>
      <c r="P220" s="302"/>
      <c r="Q220" s="244"/>
    </row>
    <row r="221" spans="2:17" ht="23.25">
      <c r="B221" s="236"/>
      <c r="C221" s="237"/>
      <c r="D221" s="237"/>
      <c r="E221" s="237"/>
      <c r="F221" s="238"/>
      <c r="G221" s="239"/>
      <c r="H221" s="240"/>
      <c r="I221" s="241"/>
      <c r="J221" s="245"/>
      <c r="K221" s="245"/>
      <c r="L221" s="245"/>
      <c r="M221" s="246"/>
      <c r="N221" s="244"/>
      <c r="O221" s="251"/>
      <c r="P221" s="302"/>
      <c r="Q221" s="244"/>
    </row>
    <row r="222" spans="2:17" ht="23.25">
      <c r="B222" s="236"/>
      <c r="C222" s="237"/>
      <c r="D222" s="237"/>
      <c r="E222" s="237"/>
      <c r="F222" s="238"/>
      <c r="G222" s="239"/>
      <c r="H222" s="240"/>
      <c r="I222" s="241"/>
      <c r="J222" s="310" t="s">
        <v>330</v>
      </c>
      <c r="K222" s="310"/>
      <c r="L222" s="310"/>
      <c r="M222" s="246"/>
      <c r="N222" s="244"/>
      <c r="O222" s="251"/>
      <c r="P222" s="302"/>
      <c r="Q222" s="244"/>
    </row>
  </sheetData>
  <sheetProtection algorithmName="SHA-512" hashValue="Yt7znVawZ1OSU5WouoaXUojI0Iky/VJJLhEBGo4IvnZXCTlHmTGO4jFyH/yVrBhNSJ3rmA8QzYmznZkKf/4tBw==" saltValue="sCfOVNnBBeW5I0Psw/Ju0w==" spinCount="100000" sheet="1" formatCells="0" formatColumns="0" formatRows="0" insertColumns="0" insertRows="0" insertHyperlinks="0" deleteColumns="0" deleteRows="0"/>
  <autoFilter ref="A3:O208" xr:uid="{00000000-0009-0000-0000-000002000000}"/>
  <mergeCells count="72">
    <mergeCell ref="B1:O1"/>
    <mergeCell ref="F94:G94"/>
    <mergeCell ref="F106:G106"/>
    <mergeCell ref="F117:G117"/>
    <mergeCell ref="F127:G127"/>
    <mergeCell ref="F101:G101"/>
    <mergeCell ref="F113:G113"/>
    <mergeCell ref="F121:G121"/>
    <mergeCell ref="E23:G23"/>
    <mergeCell ref="F28:G28"/>
    <mergeCell ref="F33:G33"/>
    <mergeCell ref="F37:G37"/>
    <mergeCell ref="F41:G41"/>
    <mergeCell ref="E36:G36"/>
    <mergeCell ref="F7:G7"/>
    <mergeCell ref="F10:G10"/>
    <mergeCell ref="F14:G14"/>
    <mergeCell ref="F18:G18"/>
    <mergeCell ref="B2:G2"/>
    <mergeCell ref="E6:G6"/>
    <mergeCell ref="C4:G4"/>
    <mergeCell ref="D5:G5"/>
    <mergeCell ref="E75:G75"/>
    <mergeCell ref="E100:G100"/>
    <mergeCell ref="D125:G125"/>
    <mergeCell ref="E126:G126"/>
    <mergeCell ref="F24:G24"/>
    <mergeCell ref="F45:G45"/>
    <mergeCell ref="F52:G52"/>
    <mergeCell ref="F57:G57"/>
    <mergeCell ref="F59:G59"/>
    <mergeCell ref="F62:G62"/>
    <mergeCell ref="F66:G66"/>
    <mergeCell ref="E61:G61"/>
    <mergeCell ref="F76:G76"/>
    <mergeCell ref="F79:G79"/>
    <mergeCell ref="F84:G84"/>
    <mergeCell ref="F89:G89"/>
    <mergeCell ref="F134:G134"/>
    <mergeCell ref="F136:G136"/>
    <mergeCell ref="E138:G138"/>
    <mergeCell ref="F139:G139"/>
    <mergeCell ref="F141:G141"/>
    <mergeCell ref="F144:G144"/>
    <mergeCell ref="E148:G148"/>
    <mergeCell ref="F149:G149"/>
    <mergeCell ref="E158:G158"/>
    <mergeCell ref="F151:G151"/>
    <mergeCell ref="F153:G153"/>
    <mergeCell ref="E167:G167"/>
    <mergeCell ref="F191:G191"/>
    <mergeCell ref="E190:G190"/>
    <mergeCell ref="F159:G159"/>
    <mergeCell ref="F163:G163"/>
    <mergeCell ref="F165:G165"/>
    <mergeCell ref="F168:G168"/>
    <mergeCell ref="F170:G170"/>
    <mergeCell ref="F183:G183"/>
    <mergeCell ref="F176:G176"/>
    <mergeCell ref="F175:G175"/>
    <mergeCell ref="J222:L222"/>
    <mergeCell ref="E205:G205"/>
    <mergeCell ref="B206:I206"/>
    <mergeCell ref="B208:K208"/>
    <mergeCell ref="J213:N217"/>
    <mergeCell ref="D201:G201"/>
    <mergeCell ref="D204:G204"/>
    <mergeCell ref="E202:G202"/>
    <mergeCell ref="E203:G203"/>
    <mergeCell ref="F196:G196"/>
    <mergeCell ref="B198:I198"/>
    <mergeCell ref="C200:G200"/>
  </mergeCells>
  <dataValidations count="6">
    <dataValidation type="list" allowBlank="1" showInputMessage="1" showErrorMessage="1" sqref="K150 K12:K13 K29:K32 K63:K64 K51 K74 K60 K152 K34:K35 K77 K72 K82:K83 K124 K91:K93 K98:K99 K9 K20:K21 K115:K116 K142:K143 K119 K85 K87:K88" xr:uid="{00000000-0002-0000-0200-000000000000}">
      <formula1>"A,B,C"</formula1>
    </dataValidation>
    <dataValidation type="list" allowBlank="1" showInputMessage="1" showErrorMessage="1" sqref="K47:K50 K15:K17 K53:K54 K103:K104 K22 K25 K39 K192 K70 K166 K58 K65 K140 K164 K78 K95:K97 K108:K111 K137 K120:K122 K197" xr:uid="{00000000-0002-0000-0200-000001000000}">
      <formula1>"A,B,C,D"</formula1>
    </dataValidation>
    <dataValidation type="list" allowBlank="1" showInputMessage="1" showErrorMessage="1" sqref="K8 K11 K40 K44 K19 K38 K42 K67:K69 K46 K56 K71 K73 K90 K86 K105 K123" xr:uid="{00000000-0002-0000-0200-000002000000}">
      <formula1>"Ya,Tidak"</formula1>
    </dataValidation>
    <dataValidation type="list" allowBlank="1" showInputMessage="1" showErrorMessage="1" sqref="K43 K203 K26:K27 K55 K80:K81 K107 K135 K145:K147 K102 K112 K114 K118" xr:uid="{00000000-0002-0000-0200-000003000000}">
      <formula1>"A,B,C,D,E"</formula1>
    </dataValidation>
    <dataValidation type="whole" operator="greaterThanOrEqual" allowBlank="1" showInputMessage="1" showErrorMessage="1" sqref="K141 K148:K149 K89 K94 K100:K101 K106 K151 K117 K125:K127 K136 K138:K139 K153 K144 K129:K130 K132:K134 K155:K159 K161:K162 K194:K195 K170 K113 K172:K175" xr:uid="{00000000-0002-0000-0200-000004000000}">
      <formula1>0</formula1>
    </dataValidation>
    <dataValidation type="decimal" allowBlank="1" showInputMessage="1" showErrorMessage="1" sqref="K204:K205 K202" xr:uid="{00000000-0002-0000-0200-000005000000}">
      <formula1>0</formula1>
      <formula2>4</formula2>
    </dataValidation>
  </dataValidations>
  <hyperlinks>
    <hyperlink ref="Q86" r:id="rId1" xr:uid="{00000000-0004-0000-0200-000036000000}"/>
    <hyperlink ref="Q87" r:id="rId2" xr:uid="{00000000-0004-0000-0200-000037000000}"/>
    <hyperlink ref="Q88" r:id="rId3" xr:uid="{00000000-0004-0000-0200-000038000000}"/>
    <hyperlink ref="Q91" r:id="rId4" xr:uid="{00000000-0004-0000-0200-000039000000}"/>
    <hyperlink ref="Q92" r:id="rId5" xr:uid="{00000000-0004-0000-0200-00003A000000}"/>
    <hyperlink ref="Q93" r:id="rId6" xr:uid="{00000000-0004-0000-0200-00003B000000}"/>
    <hyperlink ref="Q95" r:id="rId7" xr:uid="{00000000-0004-0000-0200-00003C000000}"/>
    <hyperlink ref="Q96" r:id="rId8" xr:uid="{00000000-0004-0000-0200-00003D000000}"/>
    <hyperlink ref="Q97" r:id="rId9" xr:uid="{00000000-0004-0000-0200-00003E000000}"/>
    <hyperlink ref="Q98" r:id="rId10" xr:uid="{00000000-0004-0000-0200-00003F000000}"/>
    <hyperlink ref="Q99" r:id="rId11" xr:uid="{00000000-0004-0000-0200-000040000000}"/>
    <hyperlink ref="Q102" r:id="rId12" xr:uid="{00000000-0004-0000-0200-000041000000}"/>
    <hyperlink ref="Q103" r:id="rId13" xr:uid="{00000000-0004-0000-0200-000042000000}"/>
    <hyperlink ref="Q104" r:id="rId14" xr:uid="{00000000-0004-0000-0200-000043000000}"/>
    <hyperlink ref="Q107" r:id="rId15" xr:uid="{00000000-0004-0000-0200-000044000000}"/>
    <hyperlink ref="Q108" r:id="rId16" xr:uid="{00000000-0004-0000-0200-000045000000}"/>
    <hyperlink ref="Q109" r:id="rId17" xr:uid="{00000000-0004-0000-0200-000046000000}"/>
    <hyperlink ref="Q111" r:id="rId18" xr:uid="{00000000-0004-0000-0200-000047000000}"/>
    <hyperlink ref="Q112" r:id="rId19" xr:uid="{00000000-0004-0000-0200-000048000000}"/>
    <hyperlink ref="Q114" r:id="rId20" xr:uid="{00000000-0004-0000-0200-000049000000}"/>
    <hyperlink ref="Q115" r:id="rId21" xr:uid="{00000000-0004-0000-0200-00004A000000}"/>
    <hyperlink ref="Q116" r:id="rId22" xr:uid="{00000000-0004-0000-0200-00004B000000}"/>
    <hyperlink ref="Q118" r:id="rId23" xr:uid="{00000000-0004-0000-0200-00004C000000}"/>
    <hyperlink ref="Q119" r:id="rId24" xr:uid="{00000000-0004-0000-0200-00004D000000}"/>
    <hyperlink ref="Q120" r:id="rId25" xr:uid="{00000000-0004-0000-0200-00004E000000}"/>
    <hyperlink ref="Q122" r:id="rId26" xr:uid="{00000000-0004-0000-0200-00004F000000}"/>
    <hyperlink ref="Q123" r:id="rId27" xr:uid="{00000000-0004-0000-0200-000050000000}"/>
    <hyperlink ref="Q124" r:id="rId28" xr:uid="{00000000-0004-0000-0200-000051000000}"/>
    <hyperlink ref="Q85" r:id="rId29" xr:uid="{00000000-0004-0000-0200-000035000000}"/>
    <hyperlink ref="Q83" r:id="rId30" xr:uid="{00000000-0004-0000-0200-000034000000}"/>
    <hyperlink ref="Q82" r:id="rId31" xr:uid="{00000000-0004-0000-0200-000033000000}"/>
    <hyperlink ref="Q81" r:id="rId32" xr:uid="{00000000-0004-0000-0200-000032000000}"/>
    <hyperlink ref="Q80" r:id="rId33" xr:uid="{00000000-0004-0000-0200-000031000000}"/>
    <hyperlink ref="Q78" r:id="rId34" xr:uid="{00000000-0004-0000-0200-000030000000}"/>
    <hyperlink ref="Q77" r:id="rId35" xr:uid="{00000000-0004-0000-0200-00002F000000}"/>
    <hyperlink ref="Q74" r:id="rId36" xr:uid="{00000000-0004-0000-0200-00002E000000}"/>
    <hyperlink ref="Q73" r:id="rId37" xr:uid="{00000000-0004-0000-0200-00002D000000}"/>
    <hyperlink ref="Q72" r:id="rId38" xr:uid="{00000000-0004-0000-0200-00002C000000}"/>
    <hyperlink ref="Q71" r:id="rId39" xr:uid="{00000000-0004-0000-0200-00002B000000}"/>
    <hyperlink ref="Q70" r:id="rId40" xr:uid="{00000000-0004-0000-0200-00002A000000}"/>
    <hyperlink ref="Q69" r:id="rId41" xr:uid="{00000000-0004-0000-0200-000029000000}"/>
    <hyperlink ref="Q68" r:id="rId42" xr:uid="{00000000-0004-0000-0200-000028000000}"/>
    <hyperlink ref="Q67" r:id="rId43" xr:uid="{00000000-0004-0000-0200-000027000000}"/>
    <hyperlink ref="Q65" r:id="rId44" xr:uid="{00000000-0004-0000-0200-000026000000}"/>
    <hyperlink ref="Q64" r:id="rId45" xr:uid="{00000000-0004-0000-0200-000025000000}"/>
    <hyperlink ref="Q63" r:id="rId46" xr:uid="{00000000-0004-0000-0200-000024000000}"/>
    <hyperlink ref="Q60" r:id="rId47" xr:uid="{00000000-0004-0000-0200-000023000000}"/>
    <hyperlink ref="Q58" r:id="rId48" xr:uid="{00000000-0004-0000-0200-000022000000}"/>
    <hyperlink ref="Q56" r:id="rId49" xr:uid="{00000000-0004-0000-0200-000021000000}"/>
    <hyperlink ref="Q55" r:id="rId50" xr:uid="{00000000-0004-0000-0200-000020000000}"/>
    <hyperlink ref="Q54" r:id="rId51" xr:uid="{00000000-0004-0000-0200-00001F000000}"/>
    <hyperlink ref="Q53" r:id="rId52" xr:uid="{00000000-0004-0000-0200-00001E000000}"/>
    <hyperlink ref="Q51" r:id="rId53" xr:uid="{00000000-0004-0000-0200-00001D000000}"/>
    <hyperlink ref="Q50" r:id="rId54" xr:uid="{00000000-0004-0000-0200-00001C000000}"/>
    <hyperlink ref="Q49" r:id="rId55" xr:uid="{00000000-0004-0000-0200-00001B000000}"/>
    <hyperlink ref="Q48" r:id="rId56" xr:uid="{00000000-0004-0000-0200-00001A000000}"/>
    <hyperlink ref="Q47" r:id="rId57" xr:uid="{00000000-0004-0000-0200-000019000000}"/>
    <hyperlink ref="Q46" r:id="rId58" xr:uid="{00000000-0004-0000-0200-000018000000}"/>
    <hyperlink ref="Q44" r:id="rId59" xr:uid="{00000000-0004-0000-0200-000017000000}"/>
    <hyperlink ref="Q43" r:id="rId60" xr:uid="{00000000-0004-0000-0200-000016000000}"/>
    <hyperlink ref="Q42" r:id="rId61" xr:uid="{00000000-0004-0000-0200-000015000000}"/>
    <hyperlink ref="Q40" r:id="rId62" xr:uid="{00000000-0004-0000-0200-000014000000}"/>
    <hyperlink ref="Q39" r:id="rId63" xr:uid="{00000000-0004-0000-0200-000013000000}"/>
    <hyperlink ref="Q38" r:id="rId64" xr:uid="{00000000-0004-0000-0200-000012000000}"/>
    <hyperlink ref="Q35" r:id="rId65" xr:uid="{00000000-0004-0000-0200-000011000000}"/>
    <hyperlink ref="Q34" r:id="rId66" xr:uid="{00000000-0004-0000-0200-000010000000}"/>
    <hyperlink ref="Q32" r:id="rId67" xr:uid="{00000000-0004-0000-0200-00000F000000}"/>
    <hyperlink ref="Q31" r:id="rId68" xr:uid="{00000000-0004-0000-0200-00000E000000}"/>
    <hyperlink ref="Q30" r:id="rId69" xr:uid="{00000000-0004-0000-0200-00000D000000}"/>
    <hyperlink ref="Q29" r:id="rId70" xr:uid="{00000000-0004-0000-0200-00000C000000}"/>
    <hyperlink ref="Q27" r:id="rId71" xr:uid="{00000000-0004-0000-0200-00000B000000}"/>
    <hyperlink ref="Q26" r:id="rId72" xr:uid="{00000000-0004-0000-0200-00000A000000}"/>
    <hyperlink ref="Q25" r:id="rId73" xr:uid="{00000000-0004-0000-0200-000009000000}"/>
    <hyperlink ref="Q22" r:id="rId74" xr:uid="{00000000-0004-0000-0200-000008000000}"/>
    <hyperlink ref="Q21" r:id="rId75" xr:uid="{00000000-0004-0000-0200-000007000000}"/>
    <hyperlink ref="Q20" r:id="rId76" xr:uid="{00000000-0004-0000-0200-000006000000}"/>
    <hyperlink ref="Q19" r:id="rId77" xr:uid="{00000000-0004-0000-0200-000005000000}"/>
    <hyperlink ref="Q17" r:id="rId78" xr:uid="{00000000-0004-0000-0200-000004000000}"/>
    <hyperlink ref="Q16" r:id="rId79" xr:uid="{00000000-0004-0000-0200-000003000000}"/>
    <hyperlink ref="Q15" r:id="rId80" xr:uid="{00000000-0004-0000-0200-000002000000}"/>
    <hyperlink ref="Q8" r:id="rId81" xr:uid="{00000000-0004-0000-0200-000000000000}"/>
    <hyperlink ref="Q9" r:id="rId82" xr:uid="{00000000-0004-0000-0200-000001000000}"/>
    <hyperlink ref="P73" r:id="rId83" xr:uid="{54335768-5B65-4080-9B35-D237C2B31982}"/>
  </hyperlinks>
  <pageMargins left="0.70866141732283472" right="0.70866141732283472" top="0.74803149606299213" bottom="0.74803149606299213" header="0.31496062992125984" footer="0.31496062992125984"/>
  <pageSetup paperSize="5" scale="57" firstPageNumber="66" fitToHeight="0" orientation="landscape" useFirstPageNumber="1" r:id="rId8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Utama</vt:lpstr>
      <vt:lpstr>Ctt Eval</vt:lpstr>
      <vt:lpstr>LKE ZI</vt:lpstr>
      <vt:lpstr>'LKE ZI'!Print_Titles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07</dc:creator>
  <cp:lastModifiedBy>Asip Hamdi</cp:lastModifiedBy>
  <cp:lastPrinted>2022-01-18T04:09:21Z</cp:lastPrinted>
  <dcterms:created xsi:type="dcterms:W3CDTF">2014-04-14T02:11:18Z</dcterms:created>
  <dcterms:modified xsi:type="dcterms:W3CDTF">2026-06-11T07:53:07Z</dcterms:modified>
</cp:coreProperties>
</file>